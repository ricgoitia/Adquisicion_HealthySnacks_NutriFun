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/>
  <mc:AlternateContent xmlns:mc="http://schemas.openxmlformats.org/markup-compatibility/2006">
    <mc:Choice Requires="x15">
      <x15ac:absPath xmlns:x15ac="http://schemas.microsoft.com/office/spreadsheetml/2010/11/ac" url="/Users/luisrigoitia/Downloads/"/>
    </mc:Choice>
  </mc:AlternateContent>
  <xr:revisionPtr revIDLastSave="0" documentId="13_ncr:1_{B2D38465-E3B0-E24F-AF9A-76FB1A9E2AA6}" xr6:coauthVersionLast="47" xr6:coauthVersionMax="47" xr10:uidLastSave="{00000000-0000-0000-0000-000000000000}"/>
  <bookViews>
    <workbookView xWindow="0" yWindow="0" windowWidth="28800" windowHeight="18000" tabRatio="500" xr2:uid="{00000000-000D-0000-FFFF-FFFF00000000}"/>
  </bookViews>
  <sheets>
    <sheet name="Datos del caso" sheetId="1" r:id="rId1"/>
    <sheet name="Costo de capital" sheetId="2" r:id="rId2"/>
    <sheet name="DCF NutriFun" sheetId="3" r:id="rId3"/>
    <sheet name="Precio en 3 momentos" sheetId="4" r:id="rId4"/>
    <sheet name="Sinergias y VPN" sheetId="5" r:id="rId5"/>
    <sheet name="Objetivos" sheetId="6" r:id="rId6"/>
    <sheet name="KPI" sheetId="7" r:id="rId7"/>
    <sheet name="Registro NIF B-7" sheetId="8" r:id="rId8"/>
    <sheet name="Presupuesto maestro 2026" sheetId="9" r:id="rId9"/>
    <sheet name="Sensibilidad" sheetId="10" r:id="rId10"/>
    <sheet name="Sensibilidad CapEx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29" i="11" l="1"/>
  <c r="F28" i="11"/>
  <c r="F27" i="11"/>
  <c r="F26" i="11"/>
  <c r="G7" i="11"/>
  <c r="B29" i="11" s="1"/>
  <c r="F6" i="11"/>
  <c r="E6" i="11"/>
  <c r="D6" i="11"/>
  <c r="C6" i="11"/>
  <c r="B6" i="11"/>
  <c r="G6" i="11" s="1"/>
  <c r="B28" i="11" s="1"/>
  <c r="D5" i="11"/>
  <c r="F4" i="11"/>
  <c r="F5" i="11" s="1"/>
  <c r="E4" i="11"/>
  <c r="D4" i="11"/>
  <c r="C4" i="11"/>
  <c r="C5" i="11" s="1"/>
  <c r="B4" i="11"/>
  <c r="B5" i="11" s="1"/>
  <c r="B8" i="8"/>
  <c r="B24" i="5"/>
  <c r="F14" i="5"/>
  <c r="E14" i="5"/>
  <c r="D14" i="5"/>
  <c r="C14" i="5"/>
  <c r="B14" i="5"/>
  <c r="C13" i="4"/>
  <c r="D5" i="4"/>
  <c r="G19" i="3"/>
  <c r="F19" i="3"/>
  <c r="E19" i="3"/>
  <c r="D19" i="3"/>
  <c r="C19" i="3"/>
  <c r="B13" i="3"/>
  <c r="B7" i="3"/>
  <c r="B5" i="3"/>
  <c r="B4" i="3"/>
  <c r="B13" i="2"/>
  <c r="B11" i="2"/>
  <c r="B8" i="2"/>
  <c r="B14" i="2" s="1"/>
  <c r="B8" i="3" s="1"/>
  <c r="C9" i="1"/>
  <c r="B9" i="1"/>
  <c r="D8" i="1"/>
  <c r="C8" i="1"/>
  <c r="B8" i="1"/>
  <c r="D6" i="1"/>
  <c r="D9" i="1" s="1"/>
  <c r="D5" i="1"/>
  <c r="D4" i="1"/>
  <c r="C10" i="1" s="1"/>
  <c r="E10" i="9"/>
  <c r="E11" i="9" s="1"/>
  <c r="E9" i="9"/>
  <c r="D9" i="9"/>
  <c r="D7" i="9"/>
  <c r="D8" i="9" s="1"/>
  <c r="B7" i="9"/>
  <c r="E26" i="3" l="1"/>
  <c r="D26" i="3"/>
  <c r="C26" i="3"/>
  <c r="G26" i="3"/>
  <c r="F26" i="3"/>
  <c r="D10" i="9"/>
  <c r="D11" i="9" s="1"/>
  <c r="D12" i="9" s="1"/>
  <c r="C13" i="3"/>
  <c r="B21" i="3"/>
  <c r="B8" i="9"/>
  <c r="B9" i="9"/>
  <c r="E5" i="11"/>
  <c r="G5" i="11" s="1"/>
  <c r="B27" i="11" s="1"/>
  <c r="G4" i="11"/>
  <c r="C27" i="11" l="1"/>
  <c r="C28" i="11"/>
  <c r="C29" i="11"/>
  <c r="C26" i="11"/>
  <c r="B26" i="11"/>
  <c r="D13" i="3"/>
  <c r="C9" i="6"/>
  <c r="D9" i="6" s="1"/>
  <c r="C21" i="3"/>
  <c r="C22" i="3" s="1"/>
  <c r="B11" i="5"/>
  <c r="B12" i="5" s="1"/>
  <c r="B16" i="5" s="1"/>
  <c r="B17" i="5" s="1"/>
  <c r="C14" i="3"/>
  <c r="C16" i="3" s="1"/>
  <c r="C7" i="9"/>
  <c r="B11" i="9"/>
  <c r="B12" i="9" s="1"/>
  <c r="B10" i="9"/>
  <c r="C9" i="9" l="1"/>
  <c r="C8" i="9"/>
  <c r="F8" i="9" s="1"/>
  <c r="F7" i="9"/>
  <c r="C17" i="3"/>
  <c r="C18" i="3" s="1"/>
  <c r="C23" i="3" s="1"/>
  <c r="D21" i="3"/>
  <c r="D22" i="3" s="1"/>
  <c r="C11" i="5"/>
  <c r="C12" i="5" s="1"/>
  <c r="C16" i="5" s="1"/>
  <c r="C17" i="5" s="1"/>
  <c r="D14" i="3"/>
  <c r="D16" i="3" s="1"/>
  <c r="E13" i="3"/>
  <c r="B18" i="5" l="1"/>
  <c r="B19" i="5" s="1"/>
  <c r="C27" i="3"/>
  <c r="F9" i="9"/>
  <c r="E21" i="3"/>
  <c r="E22" i="3" s="1"/>
  <c r="D11" i="5"/>
  <c r="D12" i="5" s="1"/>
  <c r="E14" i="3"/>
  <c r="F13" i="3"/>
  <c r="D17" i="3"/>
  <c r="D18" i="3" s="1"/>
  <c r="D23" i="3" s="1"/>
  <c r="C10" i="9"/>
  <c r="F10" i="9" s="1"/>
  <c r="C18" i="5" l="1"/>
  <c r="C19" i="5" s="1"/>
  <c r="D27" i="3"/>
  <c r="E11" i="5"/>
  <c r="E12" i="5" s="1"/>
  <c r="E16" i="5" s="1"/>
  <c r="E17" i="5" s="1"/>
  <c r="F14" i="3"/>
  <c r="F16" i="3" s="1"/>
  <c r="G13" i="3"/>
  <c r="F21" i="3"/>
  <c r="F22" i="3" s="1"/>
  <c r="F11" i="9"/>
  <c r="F12" i="9" s="1"/>
  <c r="E16" i="3"/>
  <c r="D16" i="5"/>
  <c r="D17" i="5" s="1"/>
  <c r="C11" i="6"/>
  <c r="D11" i="6" s="1"/>
  <c r="C11" i="9"/>
  <c r="C12" i="9" s="1"/>
  <c r="B15" i="11"/>
  <c r="B14" i="11"/>
  <c r="B36" i="5"/>
  <c r="B13" i="11"/>
  <c r="B12" i="11"/>
  <c r="G14" i="3" l="1"/>
  <c r="G16" i="3" s="1"/>
  <c r="G21" i="3"/>
  <c r="G22" i="3" s="1"/>
  <c r="F11" i="5"/>
  <c r="F12" i="5" s="1"/>
  <c r="F16" i="5" s="1"/>
  <c r="F17" i="5" s="1"/>
  <c r="F17" i="3"/>
  <c r="F18" i="3" s="1"/>
  <c r="F23" i="3" s="1"/>
  <c r="E18" i="3"/>
  <c r="E23" i="3" s="1"/>
  <c r="E17" i="3"/>
  <c r="C8" i="6"/>
  <c r="D8" i="6" s="1"/>
  <c r="C15" i="11"/>
  <c r="C36" i="5"/>
  <c r="C14" i="11"/>
  <c r="C13" i="11"/>
  <c r="C12" i="11"/>
  <c r="F27" i="3" l="1"/>
  <c r="E18" i="5"/>
  <c r="E19" i="5" s="1"/>
  <c r="D18" i="5"/>
  <c r="D19" i="5" s="1"/>
  <c r="E27" i="3"/>
  <c r="B22" i="5"/>
  <c r="G17" i="3"/>
  <c r="G18" i="3" s="1"/>
  <c r="G23" i="3" s="1"/>
  <c r="G25" i="3" l="1"/>
  <c r="G27" i="3" s="1"/>
  <c r="B29" i="3" s="1"/>
  <c r="F18" i="5"/>
  <c r="F19" i="5" s="1"/>
  <c r="B4" i="10"/>
  <c r="B6" i="10"/>
  <c r="B5" i="10"/>
  <c r="D14" i="11"/>
  <c r="D36" i="5"/>
  <c r="D13" i="11"/>
  <c r="D12" i="11"/>
  <c r="D15" i="11"/>
  <c r="E14" i="11"/>
  <c r="E36" i="5"/>
  <c r="E13" i="11"/>
  <c r="E12" i="11"/>
  <c r="E15" i="11"/>
  <c r="B23" i="5" l="1"/>
  <c r="D6" i="4"/>
  <c r="B30" i="3"/>
  <c r="F13" i="11"/>
  <c r="G13" i="11" s="1"/>
  <c r="H13" i="11" s="1"/>
  <c r="I13" i="11" s="1"/>
  <c r="J13" i="11" s="1"/>
  <c r="K13" i="11" s="1"/>
  <c r="F12" i="11"/>
  <c r="G12" i="11" s="1"/>
  <c r="H12" i="11" s="1"/>
  <c r="I12" i="11" s="1"/>
  <c r="J12" i="11" s="1"/>
  <c r="K12" i="11" s="1"/>
  <c r="F15" i="11"/>
  <c r="G15" i="11" s="1"/>
  <c r="H15" i="11" s="1"/>
  <c r="I15" i="11" s="1"/>
  <c r="J15" i="11" s="1"/>
  <c r="K15" i="11" s="1"/>
  <c r="F36" i="5"/>
  <c r="G36" i="5" s="1"/>
  <c r="H36" i="5" s="1"/>
  <c r="I36" i="5" s="1"/>
  <c r="F14" i="11"/>
  <c r="G14" i="11" s="1"/>
  <c r="H14" i="11" s="1"/>
  <c r="I14" i="11" s="1"/>
  <c r="J14" i="11" s="1"/>
  <c r="K14" i="11" s="1"/>
  <c r="D9" i="4" l="1"/>
  <c r="D12" i="4" s="1"/>
  <c r="C6" i="4"/>
  <c r="D14" i="4" l="1"/>
  <c r="B4" i="8" s="1"/>
  <c r="B9" i="8" s="1"/>
  <c r="B7" i="5"/>
  <c r="D18" i="4"/>
  <c r="D17" i="4"/>
  <c r="E17" i="4" s="1"/>
  <c r="B25" i="5" l="1"/>
  <c r="B20" i="5"/>
  <c r="C20" i="5" s="1"/>
  <c r="D20" i="5" s="1"/>
  <c r="E20" i="5" s="1"/>
  <c r="F20" i="5" s="1"/>
  <c r="B22" i="11"/>
  <c r="B21" i="11"/>
  <c r="B37" i="5"/>
  <c r="B20" i="11"/>
  <c r="B19" i="11"/>
  <c r="C20" i="11" l="1"/>
  <c r="D20" i="11" s="1"/>
  <c r="E20" i="11" s="1"/>
  <c r="F20" i="11" s="1"/>
  <c r="C19" i="11"/>
  <c r="D19" i="11" s="1"/>
  <c r="E19" i="11" s="1"/>
  <c r="F19" i="11" s="1"/>
  <c r="C22" i="11"/>
  <c r="D22" i="11" s="1"/>
  <c r="E22" i="11" s="1"/>
  <c r="F22" i="11" s="1"/>
  <c r="C37" i="5"/>
  <c r="B38" i="5"/>
  <c r="C21" i="11"/>
  <c r="D21" i="11" s="1"/>
  <c r="E21" i="11" s="1"/>
  <c r="F21" i="11" s="1"/>
  <c r="C4" i="10"/>
  <c r="B26" i="5"/>
  <c r="C6" i="10"/>
  <c r="C5" i="10"/>
  <c r="D37" i="5" l="1"/>
  <c r="C38" i="5"/>
  <c r="D28" i="11"/>
  <c r="G21" i="11"/>
  <c r="H21" i="11" s="1"/>
  <c r="I21" i="11" s="1"/>
  <c r="J21" i="11" s="1"/>
  <c r="K21" i="11" s="1"/>
  <c r="D29" i="11"/>
  <c r="G22" i="11"/>
  <c r="G19" i="11"/>
  <c r="H19" i="11" s="1"/>
  <c r="I19" i="11" s="1"/>
  <c r="J19" i="11" s="1"/>
  <c r="K19" i="11" s="1"/>
  <c r="D26" i="11"/>
  <c r="E26" i="11"/>
  <c r="G26" i="11" s="1"/>
  <c r="G20" i="11"/>
  <c r="D27" i="11"/>
  <c r="H22" i="11" l="1"/>
  <c r="I22" i="11" s="1"/>
  <c r="J22" i="11" s="1"/>
  <c r="K22" i="11" s="1"/>
  <c r="E29" i="11"/>
  <c r="G29" i="11" s="1"/>
  <c r="E37" i="5"/>
  <c r="D38" i="5"/>
  <c r="H20" i="11"/>
  <c r="I20" i="11" s="1"/>
  <c r="J20" i="11" s="1"/>
  <c r="K20" i="11" s="1"/>
  <c r="E27" i="11"/>
  <c r="G27" i="11" s="1"/>
  <c r="E28" i="11"/>
  <c r="G28" i="11" s="1"/>
  <c r="E38" i="5" l="1"/>
  <c r="F37" i="5"/>
  <c r="G37" i="5" l="1"/>
  <c r="F38" i="5"/>
  <c r="H37" i="5" l="1"/>
  <c r="G38" i="5"/>
  <c r="B28" i="5"/>
  <c r="B31" i="5" l="1"/>
  <c r="B30" i="5"/>
  <c r="C10" i="6"/>
  <c r="D10" i="6" s="1"/>
  <c r="I37" i="5"/>
  <c r="I38" i="5" s="1"/>
  <c r="H38" i="5"/>
</calcChain>
</file>

<file path=xl/sharedStrings.xml><?xml version="1.0" encoding="utf-8"?>
<sst xmlns="http://schemas.openxmlformats.org/spreadsheetml/2006/main" count="367" uniqueCount="271">
  <si>
    <t>Datos del caso y razones básicas (millones de USD)</t>
  </si>
  <si>
    <t>Concepto</t>
  </si>
  <si>
    <t>HealthySnacks LATAM</t>
  </si>
  <si>
    <t>NutriFun</t>
  </si>
  <si>
    <t>Combinado</t>
  </si>
  <si>
    <t>Ventas anuales</t>
  </si>
  <si>
    <t>EBITDA</t>
  </si>
  <si>
    <t>Deuda</t>
  </si>
  <si>
    <t>Participación de mercado (país principal)</t>
  </si>
  <si>
    <t>Margen EBITDA</t>
  </si>
  <si>
    <t>Deuda / EBITDA</t>
  </si>
  <si>
    <t>Peso de NutriFun en las ventas combinadas</t>
  </si>
  <si>
    <t>Fuente: caso HealthySnacks–NutriFun (Universidad Tecmilenio). Cifras hipotéticas del caso en azul; en negro, fórmulas.</t>
  </si>
  <si>
    <t>Costo de capital de NutriFun (Colombia): CAPM y WACC</t>
  </si>
  <si>
    <t>Componente</t>
  </si>
  <si>
    <t>Valor</t>
  </si>
  <si>
    <t>Comentario</t>
  </si>
  <si>
    <t>Tasa libre de riesgo (bono del Tesoro de EE. UU. a 10 años)</t>
  </si>
  <si>
    <t>Supuesto en dólares</t>
  </si>
  <si>
    <t>Prima de riesgo país Colombia</t>
  </si>
  <si>
    <t>Supuesto</t>
  </si>
  <si>
    <t>Beta del sector alimentos</t>
  </si>
  <si>
    <t>Supuesto: consumo básico</t>
  </si>
  <si>
    <t>Prima de riesgo de mercado</t>
  </si>
  <si>
    <t>Costo del capital propio (Ke) = rf + riesgo país + beta × prima</t>
  </si>
  <si>
    <t>Modelo CAPM</t>
  </si>
  <si>
    <t>Costo de la deuda antes de impuestos (Kd)</t>
  </si>
  <si>
    <t>Supuesto: deuda bancaria de corto plazo</t>
  </si>
  <si>
    <t>Tasa de impuesto sobre la renta en Colombia</t>
  </si>
  <si>
    <t>Tasa corporativa general</t>
  </si>
  <si>
    <t>Costo de la deuda después de impuestos</t>
  </si>
  <si>
    <t>Kd × (1 − impuesto)</t>
  </si>
  <si>
    <t>Peso de la deuda (D / V)</t>
  </si>
  <si>
    <t>Deuda de USD 10 M sobre un valor cercano a USD 50 M</t>
  </si>
  <si>
    <t>Peso del capital (E / V)</t>
  </si>
  <si>
    <t>Costo de capital promedio ponderado (WACC)</t>
  </si>
  <si>
    <t>Tasa de descuento</t>
  </si>
  <si>
    <t>Cifras en azul = supuestos; en negro = fórmulas.</t>
  </si>
  <si>
    <t>Valoración de NutriFun por flujo de caja libre (sin sinergias, millones de USD)</t>
  </si>
  <si>
    <t>Ventas 2025</t>
  </si>
  <si>
    <t>Dato del caso</t>
  </si>
  <si>
    <t>Dato del caso (8 / 45)</t>
  </si>
  <si>
    <t>Capital de trabajo neto / ventas</t>
  </si>
  <si>
    <t>Tasa de impuesto</t>
  </si>
  <si>
    <t>WACC</t>
  </si>
  <si>
    <t>Hoja Costo de capital</t>
  </si>
  <si>
    <t>Crecimiento a perpetuidad</t>
  </si>
  <si>
    <t>2025 (base)</t>
  </si>
  <si>
    <t>2026</t>
  </si>
  <si>
    <t>2027</t>
  </si>
  <si>
    <t>2028</t>
  </si>
  <si>
    <t>2029</t>
  </si>
  <si>
    <t>2030</t>
  </si>
  <si>
    <t>Crecimiento de ventas</t>
  </si>
  <si>
    <t>Ventas</t>
  </si>
  <si>
    <t>(−) Depreciación y amortización</t>
  </si>
  <si>
    <t>(=) EBIT</t>
  </si>
  <si>
    <t>(−) Impuesto</t>
  </si>
  <si>
    <t>(=) NOPAT</t>
  </si>
  <si>
    <t>(+) Depreciación y amortización</t>
  </si>
  <si>
    <t>(−) Inversión en activos (CapEx)</t>
  </si>
  <si>
    <t>Capital de trabajo neto (saldo)</t>
  </si>
  <si>
    <t>(−) Incremento en capital de trabajo</t>
  </si>
  <si>
    <t>(=) Flujo de caja libre</t>
  </si>
  <si>
    <t>Valor terminal 2030 = FCL 2031 / (WACC − g)</t>
  </si>
  <si>
    <t>Factor de descuento</t>
  </si>
  <si>
    <t>Valor presente</t>
  </si>
  <si>
    <t>Valor de la empresa (VE) sin sinergias</t>
  </si>
  <si>
    <t>EV / EBITDA 2025</t>
  </si>
  <si>
    <t>Cifras en azul = supuestos; en negro = fórmulas. Paréntesis = cifras negativas.</t>
  </si>
  <si>
    <t>Ajustes al precio de la transacción (valor de la empresa libre de deuda, millones de USD)</t>
  </si>
  <si>
    <t>Momento</t>
  </si>
  <si>
    <t>Ajuste</t>
  </si>
  <si>
    <t>Precio</t>
  </si>
  <si>
    <t>Mecanismo</t>
  </si>
  <si>
    <t>Supuesto: múltiplo VE / EBITDA de comparables</t>
  </si>
  <si>
    <t>Golosinas y snacks saludables</t>
  </si>
  <si>
    <t>1. Antes de la auditoría</t>
  </si>
  <si>
    <t>Valor preliminar por múltiplos (EBITDA 8 × 7.5)</t>
  </si>
  <si>
    <t>Múltiplos; dato del caso: USD 60 M</t>
  </si>
  <si>
    <t>2. Después de la due diligence</t>
  </si>
  <si>
    <t>Valor de la empresa por flujo de caja libre</t>
  </si>
  <si>
    <t>DCF con WACC por CAPM</t>
  </si>
  <si>
    <t>(−) Contingencia laboral</t>
  </si>
  <si>
    <t>Supuesto: pasivos laborales no registrados</t>
  </si>
  <si>
    <t>(−) Contingencia tributaria</t>
  </si>
  <si>
    <t>Supuesto: impuestos de ejercicios anteriores</t>
  </si>
  <si>
    <t>Precio ajustado</t>
  </si>
  <si>
    <t>Dato del caso: USD 52 M</t>
  </si>
  <si>
    <t>3. Al cierre</t>
  </si>
  <si>
    <t>(−) Conciliación de inventarios</t>
  </si>
  <si>
    <t>Inventario físico menor al registrado</t>
  </si>
  <si>
    <t>(−) Capital de trabajo menor al objetivo</t>
  </si>
  <si>
    <t>Ajuste contractual en la fecha de cierre</t>
  </si>
  <si>
    <t>Precio final (valor de la empresa)</t>
  </si>
  <si>
    <t>Dato del caso: USD 50 M</t>
  </si>
  <si>
    <t>(−) Pago de la deuda bancaria de NutriFun</t>
  </si>
  <si>
    <t>Se liquida con el precio (motivación del vendedor)</t>
  </si>
  <si>
    <t>Monto neto para los accionistas de NutriFun</t>
  </si>
  <si>
    <t>Valor del capital</t>
  </si>
  <si>
    <t>Reducción total frente al valor preliminar</t>
  </si>
  <si>
    <t>Múltiplo final EV / EBITDA</t>
  </si>
  <si>
    <t>Las contingencias y ajustes en azul son supuestos que reparten los montos del caso (60 → 52 → 50).</t>
  </si>
  <si>
    <t>Sinergias, valor presente neto y recuperación de la inversión (millones de USD)</t>
  </si>
  <si>
    <t>Costo de producción de NutriFun / ventas</t>
  </si>
  <si>
    <t>Reducción de costos de producción por compras centralizadas</t>
  </si>
  <si>
    <t>Objetivo del caso</t>
  </si>
  <si>
    <t>Margen EBITDA de las ventas cruzadas</t>
  </si>
  <si>
    <t>Cercano al margen de ambas empresas</t>
  </si>
  <si>
    <t>Precio pagado (valor de la empresa)</t>
  </si>
  <si>
    <t>Hoja Precio en 3 momentos</t>
  </si>
  <si>
    <t>Grado de captura del ahorro</t>
  </si>
  <si>
    <t>Ventas de NutriFun (DCF)</t>
  </si>
  <si>
    <t>Ahorro en costos de producción</t>
  </si>
  <si>
    <t>Ventas cruzadas (productos de una empresa en canales de la otra)</t>
  </si>
  <si>
    <t>EBITDA de las ventas cruzadas</t>
  </si>
  <si>
    <t>(−) Costos de integración</t>
  </si>
  <si>
    <t>(=) Sinergias antes de impuestos</t>
  </si>
  <si>
    <t>(=) Sinergias después de impuestos</t>
  </si>
  <si>
    <t>Flujo de caja libre de NutriFun (DCF)</t>
  </si>
  <si>
    <t>(=) Flujo total para HealthySnacks</t>
  </si>
  <si>
    <t>Flujo acumulado (desde el pago del precio)</t>
  </si>
  <si>
    <t>Valor presente de las sinergias (con valor terminal)</t>
  </si>
  <si>
    <t>Valor de NutriFun sin sinergias (DCF)</t>
  </si>
  <si>
    <t>(−) Contingencias detectadas en la due diligence</t>
  </si>
  <si>
    <t>(−) Precio pagado</t>
  </si>
  <si>
    <t>(=) Valor presente neto para HealthySnacks</t>
  </si>
  <si>
    <t>Recuperación de la inversión (años, flujos sin descontar)</t>
  </si>
  <si>
    <t>¿Se cumple el objetivo?</t>
  </si>
  <si>
    <t>Recuperación con interpolación (años)</t>
  </si>
  <si>
    <t>Calendario de recuperación de la inversión (millones de USD)</t>
  </si>
  <si>
    <t>Año 1 (2026)</t>
  </si>
  <si>
    <t>Año 2 (2027)</t>
  </si>
  <si>
    <t>Año 3 (2028)</t>
  </si>
  <si>
    <t>Año 4 (2029)</t>
  </si>
  <si>
    <t>Año 5 (2030)</t>
  </si>
  <si>
    <t>Año 6 (2031)</t>
  </si>
  <si>
    <t>Año 7 (2032)</t>
  </si>
  <si>
    <t>Año 8 (2033)</t>
  </si>
  <si>
    <t>Tipo de flujo</t>
  </si>
  <si>
    <t>Proyectado</t>
  </si>
  <si>
    <t>Perpetuidad</t>
  </si>
  <si>
    <t>¿Inversión recuperada?</t>
  </si>
  <si>
    <t>Años 1 a 5: flujos proyectados (tabla superior). Años 6 a 8: el flujo de 2030 crece a la tasa de perpetuidad (3.5%), igual que en el valor terminal.</t>
  </si>
  <si>
    <t>La inversión se recupera en el año en que el flujo acumulado deja de ser negativo.</t>
  </si>
  <si>
    <t>Objetivos financieros y operativos del caso: ¿son alcanzables? (millones de USD)</t>
  </si>
  <si>
    <t>Crecimiento anual del EBITDA de HealthySnacks</t>
  </si>
  <si>
    <t>Supuesto: mercado en crecimiento</t>
  </si>
  <si>
    <t>Crecimiento anual de ventas de HealthySnacks</t>
  </si>
  <si>
    <t>Objetivo</t>
  </si>
  <si>
    <t>Meta</t>
  </si>
  <si>
    <t>Proyección</t>
  </si>
  <si>
    <t>¿Se cumple?</t>
  </si>
  <si>
    <t>Cálculo</t>
  </si>
  <si>
    <t>EBITDA combinado al tercer año (2028)</t>
  </si>
  <si>
    <t>EBITDA HS × (1+4%)^3 + EBITDA NutriFun 2028 + sinergias 2028</t>
  </si>
  <si>
    <t>Incremento de ventas conjuntas el primer año</t>
  </si>
  <si>
    <t>(Ventas HS 2026 + NutriFun 2026 + ventas cruzadas) / 165 − 1</t>
  </si>
  <si>
    <t>Recuperación de la inversión (años)</t>
  </si>
  <si>
    <t>Hoja Sinergias y VPN</t>
  </si>
  <si>
    <t>Reducción de costos de producción de NutriFun (año completo)</t>
  </si>
  <si>
    <t>Ahorro 2028 / costo de producción 2028</t>
  </si>
  <si>
    <t>El ROE de 15% al tercer año no se proyecta porque el caso no informa el capital contable de HealthySnacks; se mide como KPI.</t>
  </si>
  <si>
    <t>Tablero de indicadores clave (KPI) de la integración</t>
  </si>
  <si>
    <t>Tipo</t>
  </si>
  <si>
    <t>Indicador</t>
  </si>
  <si>
    <t>Fórmula o criterio de medición</t>
  </si>
  <si>
    <t>Frecuencia</t>
  </si>
  <si>
    <t>Financiero</t>
  </si>
  <si>
    <t>ROE</t>
  </si>
  <si>
    <t>Utilidad neta / capital contable promedio</t>
  </si>
  <si>
    <t>15% al tercer año</t>
  </si>
  <si>
    <t>Trimestral</t>
  </si>
  <si>
    <t>ROA</t>
  </si>
  <si>
    <t>Utilidad neta / activo total promedio</t>
  </si>
  <si>
    <t>≥ 8% al tercer año</t>
  </si>
  <si>
    <t>EBITDA combinado</t>
  </si>
  <si>
    <t>Utilidad de operación + depreciación y amortización</t>
  </si>
  <si>
    <t>USD 40 M en 2028</t>
  </si>
  <si>
    <t>Mensual</t>
  </si>
  <si>
    <t>EBITDA / ventas netas</t>
  </si>
  <si>
    <t>≥ 20% en 2028</t>
  </si>
  <si>
    <t>Deuda neta / EBITDA</t>
  </si>
  <si>
    <t>(Deuda − efectivo) / EBITDA de 12 meses</t>
  </si>
  <si>
    <t>≤ 2.0 veces</t>
  </si>
  <si>
    <t>Recuperación de la inversión</t>
  </si>
  <si>
    <t>Flujo acumulado desde el pago / precio pagado</t>
  </si>
  <si>
    <t>100% en 7 años (objetivo del caso: 5)</t>
  </si>
  <si>
    <t>Anual</t>
  </si>
  <si>
    <t>Operativo</t>
  </si>
  <si>
    <t>Incremento en ventas conjuntas</t>
  </si>
  <si>
    <t>(Ventas del periodo / ventas del mismo periodo anterior) − 1</t>
  </si>
  <si>
    <t>+10% el primer año; +20% acumulado al segundo</t>
  </si>
  <si>
    <t>Cumplimiento del presupuesto maestro</t>
  </si>
  <si>
    <t>Resultado real / presupuestado por rubro</t>
  </si>
  <si>
    <t>95% a 105%</t>
  </si>
  <si>
    <t>Rotación de inventarios</t>
  </si>
  <si>
    <t>Costo de ventas / inventario promedio</t>
  </si>
  <si>
    <t>≥ 12 veces al año</t>
  </si>
  <si>
    <t>(Costo unitario anterior − actual) / costo unitario anterior</t>
  </si>
  <si>
    <t>10% al segundo año</t>
  </si>
  <si>
    <t>Satisfacción de clientes</t>
  </si>
  <si>
    <t>Promedio de encuesta (escala 1 a 10) a cadenas y distribuidores</t>
  </si>
  <si>
    <t>≥ 8.5</t>
  </si>
  <si>
    <t>Semestral</t>
  </si>
  <si>
    <t>Rotación de personal clave</t>
  </si>
  <si>
    <t>Bajas de personal clave / total de personal clave</t>
  </si>
  <si>
    <t>≤ 10% anual</t>
  </si>
  <si>
    <t>Indicadores tomados del caso y de la lista del Tema 6; metas propuestas por el autor.</t>
  </si>
  <si>
    <t>Reconocimiento inicial de la adquisición según la NIF B-7 (ilustrativo, millones de USD)</t>
  </si>
  <si>
    <t>Contraprestación pagada por el 100% de las acciones</t>
  </si>
  <si>
    <t>Precio final menos deuda liquidada</t>
  </si>
  <si>
    <t>Activos identificables a valor razonable (planta, inventarios, cuentas por cobrar)</t>
  </si>
  <si>
    <t>Marca NutriFun (activo intangible identificable)</t>
  </si>
  <si>
    <t>Supuesto: valuación por regalías</t>
  </si>
  <si>
    <t>(−) Pasivos asumidos a valor razonable (sin la deuda liquidada)</t>
  </si>
  <si>
    <t>Supuesto: proveedores, laborales y fiscales</t>
  </si>
  <si>
    <t>(=) Activos netos identificables a valor razonable</t>
  </si>
  <si>
    <t>Crédito mercantil = contraprestación − activos netos</t>
  </si>
  <si>
    <t>Se reconoce como activo y se somete a pruebas de deterioro</t>
  </si>
  <si>
    <t>Cifras en azul = supuestos ilustrativos; el caso no informa el balance de NutriFun.</t>
  </si>
  <si>
    <t>Presupuesto maestro conjunto 2026 (primer año posterior a la compra, millones de USD)</t>
  </si>
  <si>
    <t>Costo de ventas / ventas (ambas empresas)</t>
  </si>
  <si>
    <t>HealthySnacks</t>
  </si>
  <si>
    <t>Ventas cruzadas</t>
  </si>
  <si>
    <t>Integración</t>
  </si>
  <si>
    <t>Total</t>
  </si>
  <si>
    <t>Ventas netas</t>
  </si>
  <si>
    <t>(−) Costo de ventas</t>
  </si>
  <si>
    <t>(=) Utilidad bruta</t>
  </si>
  <si>
    <t>(−) Gastos de operación (sin depreciación)</t>
  </si>
  <si>
    <t>(=) EBITDA</t>
  </si>
  <si>
    <t>El ahorro en compras se refleja en el costo de ventas de NutriFun; los costos de integración, en gastos de operación.</t>
  </si>
  <si>
    <t>Sensibilidad del valor presente neto a la captura de sinergias (millones de USD)</t>
  </si>
  <si>
    <t>Sinergias capturadas</t>
  </si>
  <si>
    <t>VP de sinergias</t>
  </si>
  <si>
    <t>VPN para HealthySnacks</t>
  </si>
  <si>
    <t>Lectura</t>
  </si>
  <si>
    <t>El precio solo se cubre con el valor propio de NutriFun</t>
  </si>
  <si>
    <t>Aun con la mitad de las sinergias se crea valor</t>
  </si>
  <si>
    <t>Escenario base</t>
  </si>
  <si>
    <t>Sensibilidad de la recuperación de la inversión al CapEx de NutriFun (millones de USD)</t>
  </si>
  <si>
    <t>Escenario de CapEx</t>
  </si>
  <si>
    <t>Total 5 años</t>
  </si>
  <si>
    <t>Factor</t>
  </si>
  <si>
    <t>Base del modelo (incluye planta de Bogotá)</t>
  </si>
  <si>
    <t>CapEx reducido</t>
  </si>
  <si>
    <t>CapEx igual a la depreciación (mantenimiento)</t>
  </si>
  <si>
    <t>Sin CapEx (caso extremo)</t>
  </si>
  <si>
    <t>Flujo total para HealthySnacks por escenario (después de sinergias)</t>
  </si>
  <si>
    <t>Escenario</t>
  </si>
  <si>
    <t>Año 1</t>
  </si>
  <si>
    <t>Año 2</t>
  </si>
  <si>
    <t>Año 3</t>
  </si>
  <si>
    <t>Año 4</t>
  </si>
  <si>
    <t>Año 5</t>
  </si>
  <si>
    <t>Año 6</t>
  </si>
  <si>
    <t>Año 7</t>
  </si>
  <si>
    <t>Año 8</t>
  </si>
  <si>
    <t>Año 9</t>
  </si>
  <si>
    <t>Año 10</t>
  </si>
  <si>
    <t>Flujo acumulado desde el pago del precio</t>
  </si>
  <si>
    <t>Resumen: ¿se alcanza la meta de recuperación en 5 años?</t>
  </si>
  <si>
    <t>CapEx 5 años</t>
  </si>
  <si>
    <t>Ahorro vs. base</t>
  </si>
  <si>
    <t>Acumulado al año 5</t>
  </si>
  <si>
    <t>Recuperación (años)</t>
  </si>
  <si>
    <t>¿Cumple?</t>
  </si>
  <si>
    <t>Recuperación interpolada con flujos sin descontar. Años 6 a 10: el flujo del año 5 crece a la tasa de perpetuidad.</t>
  </si>
  <si>
    <t>El modelo mantiene las ventas sin cambio en todos los escenarios; en la práctica, recortar el CapEx de la planta de Bogotá reduciría el crecimiento de NutriFun,</t>
  </si>
  <si>
    <t>por lo que estos resultados son el mejor caso posible. Ni con CapEx en cero el acumulado del año 5 llega a cero: el CapEx total (13.1) es menor que el faltante (14.9).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</si>
</sst>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.0;\(#,##0.0\)"/>
    <numFmt numFmtId="165" formatCode="0.0%"/>
    <numFmt numFmtId="166" formatCode="0.0\x"/>
    <numFmt numFmtId="167" formatCode="0.000"/>
    <numFmt numFmtId="168" formatCode="0&quot; años&quot;"/>
    <numFmt numFmtId="169" formatCode="0.0&quot; años&quot;"/>
    <numFmt numFmtId="170" formatCode="0.0"/>
  </numFmts>
  <fonts count="14" x14ac:knownFonts="1">
    <font>
      <sz val="11"/>
      <color theme="1"/>
      <name val="Calibri"/>
      <family val="2"/>
      <charset val="1"/>
    </font>
    <font>
      <b/>
      <sz val="12"/>
      <color rgb="FF1F4E79"/>
      <name val="Arial"/>
      <family val="2"/>
      <charset val="1"/>
    </font>
    <font>
      <b/>
      <sz val="10"/>
      <color rgb="FFFFFFFF"/>
      <name val="Arial"/>
      <family val="2"/>
      <charset val="1"/>
    </font>
    <font>
      <sz val="10"/>
      <color rgb="FF1F2937"/>
      <name val="Arial"/>
      <family val="2"/>
      <charset val="1"/>
    </font>
    <font>
      <sz val="10"/>
      <color rgb="FF0000FF"/>
      <name val="Arial"/>
      <family val="2"/>
      <charset val="1"/>
    </font>
    <font>
      <i/>
      <sz val="9"/>
      <color rgb="FF555555"/>
      <name val="Arial"/>
      <family val="2"/>
      <charset val="1"/>
    </font>
    <font>
      <b/>
      <sz val="10"/>
      <color rgb="FF1F2937"/>
      <name val="Arial"/>
      <family val="2"/>
      <charset val="1"/>
    </font>
    <font>
      <b/>
      <sz val="11"/>
      <color rgb="FF1F4E79"/>
      <name val="Arial"/>
      <family val="2"/>
      <charset val="1"/>
    </font>
    <font>
      <b/>
      <sz val="12"/>
      <color rgb="FF1F4E79"/>
      <name val="Arial"/>
      <family val="2"/>
    </font>
    <font>
      <b/>
      <sz val="10"/>
      <color rgb="FFFFFFFF"/>
      <name val="Arial"/>
      <family val="2"/>
    </font>
    <font>
      <sz val="10"/>
      <color rgb="FF1F2937"/>
      <name val="Arial"/>
      <family val="2"/>
    </font>
    <font>
      <sz val="10"/>
      <color rgb="FF0000FF"/>
      <name val="Arial"/>
      <family val="2"/>
    </font>
    <font>
      <b/>
      <sz val="11"/>
      <color rgb="FF1F4E79"/>
      <name val="Arial"/>
      <family val="2"/>
    </font>
    <font>
      <i/>
      <sz val="9"/>
      <color rgb="FF555555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2F5F9"/>
        <bgColor rgb="FFFFFFFF"/>
      </patternFill>
    </fill>
  </fills>
  <borders count="3">
    <border>
      <left/>
      <right/>
      <top/>
      <bottom/>
      <diagonal/>
    </border>
    <border>
      <left style="thin">
        <color rgb="FFBFC7D1"/>
      </left>
      <right style="thin">
        <color rgb="FFBFC7D1"/>
      </right>
      <top style="thin">
        <color rgb="FFBFC7D1"/>
      </top>
      <bottom style="thin">
        <color rgb="FFBFC7D1"/>
      </bottom>
      <diagonal/>
    </border>
    <border>
      <left style="thin">
        <color rgb="FFBFC7D1"/>
      </left>
      <right style="thin">
        <color rgb="FFBFC7D1"/>
      </right>
      <top style="thin">
        <color rgb="FF1F2937"/>
      </top>
      <bottom style="thin">
        <color rgb="FFBFC7D1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3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164" fontId="3" fillId="0" borderId="1" xfId="0" applyNumberFormat="1" applyFont="1" applyBorder="1" applyAlignment="1">
      <alignment horizontal="right" vertical="center"/>
    </xf>
    <xf numFmtId="0" fontId="3" fillId="3" borderId="1" xfId="0" applyFont="1" applyFill="1" applyBorder="1" applyAlignment="1">
      <alignment horizontal="left" vertical="center"/>
    </xf>
    <xf numFmtId="164" fontId="4" fillId="3" borderId="1" xfId="0" applyNumberFormat="1" applyFont="1" applyFill="1" applyBorder="1" applyAlignment="1">
      <alignment horizontal="right" vertical="center"/>
    </xf>
    <xf numFmtId="164" fontId="3" fillId="3" borderId="1" xfId="0" applyNumberFormat="1" applyFont="1" applyFill="1" applyBorder="1" applyAlignment="1">
      <alignment horizontal="right" vertical="center"/>
    </xf>
    <xf numFmtId="165" fontId="4" fillId="3" borderId="1" xfId="0" applyNumberFormat="1" applyFont="1" applyFill="1" applyBorder="1" applyAlignment="1">
      <alignment horizontal="right" vertical="center"/>
    </xf>
    <xf numFmtId="165" fontId="3" fillId="3" borderId="1" xfId="0" applyNumberFormat="1" applyFont="1" applyFill="1" applyBorder="1" applyAlignment="1">
      <alignment horizontal="right" vertical="center"/>
    </xf>
    <xf numFmtId="165" fontId="3" fillId="0" borderId="1" xfId="0" applyNumberFormat="1" applyFont="1" applyBorder="1" applyAlignment="1">
      <alignment horizontal="right" vertical="center"/>
    </xf>
    <xf numFmtId="166" fontId="3" fillId="3" borderId="1" xfId="0" applyNumberFormat="1" applyFont="1" applyFill="1" applyBorder="1" applyAlignment="1">
      <alignment horizontal="right" vertical="center"/>
    </xf>
    <xf numFmtId="0" fontId="5" fillId="0" borderId="0" xfId="0" applyFont="1"/>
    <xf numFmtId="165" fontId="4" fillId="0" borderId="1" xfId="0" applyNumberFormat="1" applyFont="1" applyBorder="1" applyAlignment="1">
      <alignment horizontal="right" vertical="center"/>
    </xf>
    <xf numFmtId="2" fontId="4" fillId="0" borderId="1" xfId="0" applyNumberFormat="1" applyFont="1" applyBorder="1" applyAlignment="1">
      <alignment horizontal="right" vertical="center"/>
    </xf>
    <xf numFmtId="0" fontId="6" fillId="0" borderId="2" xfId="0" applyFont="1" applyBorder="1" applyAlignment="1">
      <alignment horizontal="left" vertical="center"/>
    </xf>
    <xf numFmtId="165" fontId="6" fillId="0" borderId="2" xfId="0" applyNumberFormat="1" applyFont="1" applyBorder="1" applyAlignment="1">
      <alignment horizontal="right" vertical="center"/>
    </xf>
    <xf numFmtId="164" fontId="6" fillId="0" borderId="2" xfId="0" applyNumberFormat="1" applyFont="1" applyBorder="1" applyAlignment="1">
      <alignment horizontal="right" vertical="center"/>
    </xf>
    <xf numFmtId="0" fontId="6" fillId="3" borderId="2" xfId="0" applyFont="1" applyFill="1" applyBorder="1" applyAlignment="1">
      <alignment horizontal="left" vertical="center"/>
    </xf>
    <xf numFmtId="164" fontId="6" fillId="3" borderId="2" xfId="0" applyNumberFormat="1" applyFont="1" applyFill="1" applyBorder="1" applyAlignment="1">
      <alignment horizontal="right" vertical="center"/>
    </xf>
    <xf numFmtId="167" fontId="3" fillId="0" borderId="1" xfId="0" applyNumberFormat="1" applyFont="1" applyBorder="1" applyAlignment="1">
      <alignment horizontal="right" vertical="center"/>
    </xf>
    <xf numFmtId="166" fontId="3" fillId="0" borderId="1" xfId="0" applyNumberFormat="1" applyFont="1" applyBorder="1" applyAlignment="1">
      <alignment horizontal="right" vertical="center"/>
    </xf>
    <xf numFmtId="166" fontId="4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 wrapText="1"/>
    </xf>
    <xf numFmtId="0" fontId="6" fillId="3" borderId="2" xfId="0" applyFont="1" applyFill="1" applyBorder="1" applyAlignment="1">
      <alignment horizontal="left" vertical="center" wrapText="1"/>
    </xf>
    <xf numFmtId="9" fontId="4" fillId="0" borderId="1" xfId="0" applyNumberFormat="1" applyFont="1" applyBorder="1" applyAlignment="1">
      <alignment horizontal="right" vertical="center"/>
    </xf>
    <xf numFmtId="168" fontId="6" fillId="0" borderId="2" xfId="0" applyNumberFormat="1" applyFont="1" applyBorder="1" applyAlignment="1">
      <alignment horizontal="right" vertical="center"/>
    </xf>
    <xf numFmtId="168" fontId="4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right" vertical="center"/>
    </xf>
    <xf numFmtId="169" fontId="3" fillId="0" borderId="1" xfId="0" applyNumberFormat="1" applyFont="1" applyBorder="1" applyAlignment="1">
      <alignment horizontal="right" vertical="center"/>
    </xf>
    <xf numFmtId="0" fontId="7" fillId="0" borderId="0" xfId="0" applyFont="1"/>
    <xf numFmtId="0" fontId="3" fillId="3" borderId="1" xfId="0" applyFont="1" applyFill="1" applyBorder="1" applyAlignment="1">
      <alignment horizontal="right" vertical="center"/>
    </xf>
    <xf numFmtId="1" fontId="4" fillId="0" borderId="1" xfId="0" applyNumberFormat="1" applyFont="1" applyBorder="1" applyAlignment="1">
      <alignment horizontal="right" vertical="center"/>
    </xf>
    <xf numFmtId="1" fontId="3" fillId="0" borderId="1" xfId="0" applyNumberFormat="1" applyFont="1" applyBorder="1" applyAlignment="1">
      <alignment horizontal="right" vertical="center"/>
    </xf>
    <xf numFmtId="9" fontId="4" fillId="0" borderId="1" xfId="0" applyNumberFormat="1" applyFont="1" applyBorder="1" applyAlignment="1">
      <alignment horizontal="left" vertical="center"/>
    </xf>
    <xf numFmtId="9" fontId="4" fillId="3" borderId="1" xfId="0" applyNumberFormat="1" applyFont="1" applyFill="1" applyBorder="1" applyAlignment="1">
      <alignment horizontal="left" vertical="center"/>
    </xf>
    <xf numFmtId="0" fontId="8" fillId="0" borderId="0" xfId="0" applyFont="1"/>
    <xf numFmtId="0" fontId="9" fillId="2" borderId="1" xfId="0" applyFont="1" applyFill="1" applyBorder="1" applyAlignment="1">
      <alignment horizontal="left" vertical="center" wrapText="1"/>
    </xf>
    <xf numFmtId="0" fontId="9" fillId="2" borderId="1" xfId="0" applyFont="1" applyFill="1" applyBorder="1" applyAlignment="1">
      <alignment horizontal="right" vertical="center" wrapText="1"/>
    </xf>
    <xf numFmtId="0" fontId="10" fillId="0" borderId="1" xfId="0" applyFont="1" applyBorder="1" applyAlignment="1">
      <alignment horizontal="left" vertical="center"/>
    </xf>
    <xf numFmtId="164" fontId="10" fillId="0" borderId="1" xfId="0" applyNumberFormat="1" applyFont="1" applyBorder="1" applyAlignment="1">
      <alignment horizontal="right" vertical="center"/>
    </xf>
    <xf numFmtId="0" fontId="10" fillId="0" borderId="1" xfId="0" applyFont="1" applyBorder="1" applyAlignment="1">
      <alignment horizontal="right" vertical="center"/>
    </xf>
    <xf numFmtId="0" fontId="10" fillId="3" borderId="1" xfId="0" applyFont="1" applyFill="1" applyBorder="1" applyAlignment="1">
      <alignment horizontal="left" vertical="center"/>
    </xf>
    <xf numFmtId="164" fontId="10" fillId="3" borderId="1" xfId="0" applyNumberFormat="1" applyFont="1" applyFill="1" applyBorder="1" applyAlignment="1">
      <alignment horizontal="right" vertical="center"/>
    </xf>
    <xf numFmtId="9" fontId="11" fillId="3" borderId="1" xfId="0" applyNumberFormat="1" applyFont="1" applyFill="1" applyBorder="1" applyAlignment="1">
      <alignment horizontal="right" vertical="center"/>
    </xf>
    <xf numFmtId="164" fontId="11" fillId="3" borderId="1" xfId="0" applyNumberFormat="1" applyFont="1" applyFill="1" applyBorder="1" applyAlignment="1">
      <alignment horizontal="right" vertical="center"/>
    </xf>
    <xf numFmtId="0" fontId="10" fillId="3" borderId="1" xfId="0" applyFont="1" applyFill="1" applyBorder="1" applyAlignment="1">
      <alignment horizontal="right" vertical="center"/>
    </xf>
    <xf numFmtId="0" fontId="12" fillId="0" borderId="0" xfId="0" applyFont="1"/>
    <xf numFmtId="170" fontId="10" fillId="0" borderId="1" xfId="0" applyNumberFormat="1" applyFont="1" applyBorder="1" applyAlignment="1">
      <alignment horizontal="right" vertical="center"/>
    </xf>
    <xf numFmtId="1" fontId="10" fillId="0" borderId="1" xfId="0" applyNumberFormat="1" applyFont="1" applyBorder="1" applyAlignment="1">
      <alignment horizontal="right" vertical="center"/>
    </xf>
    <xf numFmtId="170" fontId="10" fillId="3" borderId="1" xfId="0" applyNumberFormat="1" applyFont="1" applyFill="1" applyBorder="1" applyAlignment="1">
      <alignment horizontal="right" vertical="center"/>
    </xf>
    <xf numFmtId="1" fontId="10" fillId="3" borderId="1" xfId="0" applyNumberFormat="1" applyFont="1" applyFill="1" applyBorder="1" applyAlignment="1">
      <alignment horizontal="right" vertical="center"/>
    </xf>
    <xf numFmtId="0" fontId="13" fillId="0" borderId="0" xfId="0" applyFont="1"/>
    <xf numFmtId="0" fontId="9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C7D1"/>
      <rgbColor rgb="FF808080"/>
      <rgbColor rgb="FF9999FF"/>
      <rgbColor rgb="FF993366"/>
      <rgbColor rgb="FFF2F5F9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1F293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518160</xdr:colOff>
      <xdr:row>22</xdr:row>
      <xdr:rowOff>71120</xdr:rowOff>
    </xdr:from>
    <xdr:to>
      <xdr:col>5</xdr:col>
      <xdr:colOff>508000</xdr:colOff>
      <xdr:row>23</xdr:row>
      <xdr:rowOff>162560</xdr:rowOff>
    </xdr:to>
    <xdr:cxnSp macro="">
      <xdr:nvCxnSpPr>
        <xdr:cNvPr id="3" name="Curved Connector 2">
          <a:extLst>
            <a:ext uri="{FF2B5EF4-FFF2-40B4-BE49-F238E27FC236}">
              <a16:creationId xmlns:a16="http://schemas.microsoft.com/office/drawing/2014/main" id="{8C9249E2-5D79-F4FD-1690-81F627314BC3}"/>
            </a:ext>
          </a:extLst>
        </xdr:cNvPr>
        <xdr:cNvCxnSpPr/>
      </xdr:nvCxnSpPr>
      <xdr:spPr>
        <a:xfrm rot="10800000" flipV="1">
          <a:off x="5547360" y="4490720"/>
          <a:ext cx="1849120" cy="284480"/>
        </a:xfrm>
        <a:prstGeom prst="curvedConnector3">
          <a:avLst/>
        </a:prstGeom>
        <a:ln>
          <a:solidFill>
            <a:srgbClr val="FF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12"/>
  <sheetViews>
    <sheetView tabSelected="1" zoomScaleNormal="100" workbookViewId="0"/>
  </sheetViews>
  <sheetFormatPr baseColWidth="10" defaultColWidth="8.6640625" defaultRowHeight="15" x14ac:dyDescent="0.2"/>
  <cols>
    <col min="1" max="1" width="46" customWidth="1"/>
    <col min="2" max="2" width="20" customWidth="1"/>
    <col min="3" max="4" width="14" customWidth="1"/>
  </cols>
  <sheetData>
    <row r="1" spans="1:4" ht="15.75" customHeight="1" x14ac:dyDescent="0.2">
      <c r="A1" s="1" t="s">
        <v>0</v>
      </c>
    </row>
    <row r="3" spans="1:4" x14ac:dyDescent="0.2">
      <c r="A3" s="2" t="s">
        <v>1</v>
      </c>
      <c r="B3" s="3" t="s">
        <v>2</v>
      </c>
      <c r="C3" s="3" t="s">
        <v>3</v>
      </c>
      <c r="D3" s="3" t="s">
        <v>4</v>
      </c>
    </row>
    <row r="4" spans="1:4" x14ac:dyDescent="0.2">
      <c r="A4" s="4" t="s">
        <v>5</v>
      </c>
      <c r="B4" s="5">
        <v>120</v>
      </c>
      <c r="C4" s="5">
        <v>45</v>
      </c>
      <c r="D4" s="6">
        <f>B4+C4</f>
        <v>165</v>
      </c>
    </row>
    <row r="5" spans="1:4" x14ac:dyDescent="0.2">
      <c r="A5" s="7" t="s">
        <v>6</v>
      </c>
      <c r="B5" s="8">
        <v>25</v>
      </c>
      <c r="C5" s="8">
        <v>8</v>
      </c>
      <c r="D5" s="9">
        <f>B5+C5</f>
        <v>33</v>
      </c>
    </row>
    <row r="6" spans="1:4" x14ac:dyDescent="0.2">
      <c r="A6" s="4" t="s">
        <v>7</v>
      </c>
      <c r="B6" s="5">
        <v>40</v>
      </c>
      <c r="C6" s="5">
        <v>10</v>
      </c>
      <c r="D6" s="6">
        <f>B6+C6</f>
        <v>50</v>
      </c>
    </row>
    <row r="7" spans="1:4" x14ac:dyDescent="0.2">
      <c r="A7" s="7" t="s">
        <v>8</v>
      </c>
      <c r="B7" s="10">
        <v>0.28000000000000003</v>
      </c>
      <c r="C7" s="10">
        <v>0.35</v>
      </c>
      <c r="D7" s="11"/>
    </row>
    <row r="8" spans="1:4" x14ac:dyDescent="0.2">
      <c r="A8" s="4" t="s">
        <v>9</v>
      </c>
      <c r="B8" s="12">
        <f t="shared" ref="B8:D9" si="0">B5/B4</f>
        <v>0.20833333333333334</v>
      </c>
      <c r="C8" s="12">
        <f t="shared" si="0"/>
        <v>0.17777777777777778</v>
      </c>
      <c r="D8" s="12">
        <f t="shared" si="0"/>
        <v>0.2</v>
      </c>
    </row>
    <row r="9" spans="1:4" x14ac:dyDescent="0.2">
      <c r="A9" s="7" t="s">
        <v>10</v>
      </c>
      <c r="B9" s="13">
        <f t="shared" si="0"/>
        <v>1.6</v>
      </c>
      <c r="C9" s="13">
        <f t="shared" si="0"/>
        <v>1.25</v>
      </c>
      <c r="D9" s="13">
        <f t="shared" si="0"/>
        <v>1.5151515151515151</v>
      </c>
    </row>
    <row r="10" spans="1:4" x14ac:dyDescent="0.2">
      <c r="A10" s="4" t="s">
        <v>11</v>
      </c>
      <c r="B10" s="12"/>
      <c r="C10" s="12">
        <f>C4/D4</f>
        <v>0.27272727272727271</v>
      </c>
      <c r="D10" s="12"/>
    </row>
    <row r="12" spans="1:4" x14ac:dyDescent="0.2">
      <c r="A12" s="14" t="s">
        <v>12</v>
      </c>
    </row>
  </sheetData>
  <pageMargins left="0.75" right="0.75" top="1" bottom="1" header="0.511811023622047" footer="0.511811023622047"/>
  <pageSetup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C16"/>
  <sheetViews>
    <sheetView zoomScale="125" zoomScaleNormal="125" workbookViewId="0"/>
  </sheetViews>
  <sheetFormatPr baseColWidth="10" defaultColWidth="8.6640625" defaultRowHeight="15" x14ac:dyDescent="0.2"/>
  <cols>
    <col min="1" max="1" width="62" customWidth="1"/>
    <col min="2" max="2" width="12" customWidth="1"/>
    <col min="3" max="3" width="50" customWidth="1"/>
  </cols>
  <sheetData>
    <row r="1" spans="1:3" ht="15.75" customHeight="1" x14ac:dyDescent="0.2">
      <c r="A1" s="1" t="s">
        <v>13</v>
      </c>
    </row>
    <row r="3" spans="1:3" x14ac:dyDescent="0.2">
      <c r="A3" s="2" t="s">
        <v>14</v>
      </c>
      <c r="B3" s="3" t="s">
        <v>15</v>
      </c>
      <c r="C3" s="2" t="s">
        <v>16</v>
      </c>
    </row>
    <row r="4" spans="1:3" x14ac:dyDescent="0.2">
      <c r="A4" s="4" t="s">
        <v>17</v>
      </c>
      <c r="B4" s="15">
        <v>4.2999999999999997E-2</v>
      </c>
      <c r="C4" s="4" t="s">
        <v>18</v>
      </c>
    </row>
    <row r="5" spans="1:3" x14ac:dyDescent="0.2">
      <c r="A5" s="7" t="s">
        <v>19</v>
      </c>
      <c r="B5" s="10">
        <v>2.8000000000000001E-2</v>
      </c>
      <c r="C5" s="7" t="s">
        <v>20</v>
      </c>
    </row>
    <row r="6" spans="1:3" x14ac:dyDescent="0.2">
      <c r="A6" s="4" t="s">
        <v>21</v>
      </c>
      <c r="B6" s="16">
        <v>1</v>
      </c>
      <c r="C6" s="4" t="s">
        <v>22</v>
      </c>
    </row>
    <row r="7" spans="1:3" x14ac:dyDescent="0.2">
      <c r="A7" s="7" t="s">
        <v>23</v>
      </c>
      <c r="B7" s="10">
        <v>5.5E-2</v>
      </c>
      <c r="C7" s="7" t="s">
        <v>20</v>
      </c>
    </row>
    <row r="8" spans="1:3" x14ac:dyDescent="0.2">
      <c r="A8" s="4" t="s">
        <v>24</v>
      </c>
      <c r="B8" s="12">
        <f>B4+B5+B6*B7</f>
        <v>0.126</v>
      </c>
      <c r="C8" s="4" t="s">
        <v>25</v>
      </c>
    </row>
    <row r="9" spans="1:3" x14ac:dyDescent="0.2">
      <c r="A9" s="7" t="s">
        <v>26</v>
      </c>
      <c r="B9" s="10">
        <v>0.11</v>
      </c>
      <c r="C9" s="7" t="s">
        <v>27</v>
      </c>
    </row>
    <row r="10" spans="1:3" x14ac:dyDescent="0.2">
      <c r="A10" s="4" t="s">
        <v>28</v>
      </c>
      <c r="B10" s="15">
        <v>0.35</v>
      </c>
      <c r="C10" s="4" t="s">
        <v>29</v>
      </c>
    </row>
    <row r="11" spans="1:3" x14ac:dyDescent="0.2">
      <c r="A11" s="7" t="s">
        <v>30</v>
      </c>
      <c r="B11" s="11">
        <f>B9*(1-B10)</f>
        <v>7.1500000000000008E-2</v>
      </c>
      <c r="C11" s="7" t="s">
        <v>31</v>
      </c>
    </row>
    <row r="12" spans="1:3" x14ac:dyDescent="0.2">
      <c r="A12" s="4" t="s">
        <v>32</v>
      </c>
      <c r="B12" s="15">
        <v>0.2</v>
      </c>
      <c r="C12" s="4" t="s">
        <v>33</v>
      </c>
    </row>
    <row r="13" spans="1:3" x14ac:dyDescent="0.2">
      <c r="A13" s="7" t="s">
        <v>34</v>
      </c>
      <c r="B13" s="11">
        <f>1-B12</f>
        <v>0.8</v>
      </c>
      <c r="C13" s="7"/>
    </row>
    <row r="14" spans="1:3" x14ac:dyDescent="0.2">
      <c r="A14" s="17" t="s">
        <v>35</v>
      </c>
      <c r="B14" s="18">
        <f>B13*B8+B12*B11</f>
        <v>0.11510000000000001</v>
      </c>
      <c r="C14" s="17" t="s">
        <v>36</v>
      </c>
    </row>
    <row r="16" spans="1:3" x14ac:dyDescent="0.2">
      <c r="A16" s="14" t="s">
        <v>37</v>
      </c>
    </row>
  </sheetData>
  <pageMargins left="0.75" right="0.75" top="1" bottom="1" header="0.511811023622047" footer="0.511811023622047"/>
  <pageSetup fitToHeight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G32"/>
  <sheetViews>
    <sheetView topLeftCell="A2" zoomScaleNormal="100" workbookViewId="0">
      <selection activeCell="A30" sqref="A30"/>
    </sheetView>
  </sheetViews>
  <sheetFormatPr baseColWidth="10" defaultColWidth="8.6640625" defaultRowHeight="15" x14ac:dyDescent="0.2"/>
  <cols>
    <col min="1" max="1" width="46" customWidth="1"/>
    <col min="2" max="7" width="11" customWidth="1"/>
  </cols>
  <sheetData>
    <row r="1" spans="1:7" ht="15.75" customHeight="1" x14ac:dyDescent="0.2">
      <c r="A1" s="1" t="s">
        <v>38</v>
      </c>
    </row>
    <row r="3" spans="1:7" x14ac:dyDescent="0.2">
      <c r="A3" s="2" t="s">
        <v>20</v>
      </c>
      <c r="B3" s="3" t="s">
        <v>15</v>
      </c>
      <c r="C3" s="2" t="s">
        <v>16</v>
      </c>
    </row>
    <row r="4" spans="1:7" x14ac:dyDescent="0.2">
      <c r="A4" s="4" t="s">
        <v>39</v>
      </c>
      <c r="B4" s="6">
        <f>'Datos del caso'!C4</f>
        <v>45</v>
      </c>
      <c r="C4" s="4" t="s">
        <v>40</v>
      </c>
    </row>
    <row r="5" spans="1:7" x14ac:dyDescent="0.2">
      <c r="A5" s="7" t="s">
        <v>9</v>
      </c>
      <c r="B5" s="11">
        <f>'Datos del caso'!C8</f>
        <v>0.17777777777777778</v>
      </c>
      <c r="C5" s="7" t="s">
        <v>41</v>
      </c>
    </row>
    <row r="6" spans="1:7" x14ac:dyDescent="0.2">
      <c r="A6" s="4" t="s">
        <v>42</v>
      </c>
      <c r="B6" s="15">
        <v>0.15</v>
      </c>
      <c r="C6" s="4" t="s">
        <v>20</v>
      </c>
    </row>
    <row r="7" spans="1:7" x14ac:dyDescent="0.2">
      <c r="A7" s="7" t="s">
        <v>43</v>
      </c>
      <c r="B7" s="11">
        <f>'Costo de capital'!B10</f>
        <v>0.35</v>
      </c>
      <c r="C7" s="7"/>
    </row>
    <row r="8" spans="1:7" x14ac:dyDescent="0.2">
      <c r="A8" s="4" t="s">
        <v>44</v>
      </c>
      <c r="B8" s="12">
        <f>'Costo de capital'!B14</f>
        <v>0.11510000000000001</v>
      </c>
      <c r="C8" s="4" t="s">
        <v>45</v>
      </c>
    </row>
    <row r="9" spans="1:7" x14ac:dyDescent="0.2">
      <c r="A9" s="7" t="s">
        <v>46</v>
      </c>
      <c r="B9" s="10">
        <v>3.5000000000000003E-2</v>
      </c>
      <c r="C9" s="7" t="s">
        <v>20</v>
      </c>
    </row>
    <row r="11" spans="1:7" x14ac:dyDescent="0.2">
      <c r="A11" s="2" t="s">
        <v>1</v>
      </c>
      <c r="B11" s="3" t="s">
        <v>47</v>
      </c>
      <c r="C11" s="3" t="s">
        <v>48</v>
      </c>
      <c r="D11" s="3" t="s">
        <v>49</v>
      </c>
      <c r="E11" s="3" t="s">
        <v>50</v>
      </c>
      <c r="F11" s="3" t="s">
        <v>51</v>
      </c>
      <c r="G11" s="3" t="s">
        <v>52</v>
      </c>
    </row>
    <row r="12" spans="1:7" x14ac:dyDescent="0.2">
      <c r="A12" s="4" t="s">
        <v>53</v>
      </c>
      <c r="B12" s="12"/>
      <c r="C12" s="15">
        <v>0.1</v>
      </c>
      <c r="D12" s="15">
        <v>0.1</v>
      </c>
      <c r="E12" s="15">
        <v>0.09</v>
      </c>
      <c r="F12" s="15">
        <v>0.08</v>
      </c>
      <c r="G12" s="15">
        <v>7.0000000000000007E-2</v>
      </c>
    </row>
    <row r="13" spans="1:7" x14ac:dyDescent="0.2">
      <c r="A13" s="7" t="s">
        <v>54</v>
      </c>
      <c r="B13" s="9">
        <f>B4</f>
        <v>45</v>
      </c>
      <c r="C13" s="9">
        <f>B13*(1+C12)</f>
        <v>49.500000000000007</v>
      </c>
      <c r="D13" s="9">
        <f>C13*(1+D12)</f>
        <v>54.45000000000001</v>
      </c>
      <c r="E13" s="9">
        <f>D13*(1+E12)</f>
        <v>59.350500000000018</v>
      </c>
      <c r="F13" s="9">
        <f>E13*(1+F12)</f>
        <v>64.098540000000028</v>
      </c>
      <c r="G13" s="9">
        <f>F13*(1+G12)</f>
        <v>68.585437800000037</v>
      </c>
    </row>
    <row r="14" spans="1:7" x14ac:dyDescent="0.2">
      <c r="A14" s="4" t="s">
        <v>6</v>
      </c>
      <c r="B14" s="6"/>
      <c r="C14" s="6">
        <f>C13*$B$5</f>
        <v>8.8000000000000025</v>
      </c>
      <c r="D14" s="6">
        <f>D13*$B$5</f>
        <v>9.6800000000000015</v>
      </c>
      <c r="E14" s="6">
        <f>E13*$B$5</f>
        <v>10.551200000000003</v>
      </c>
      <c r="F14" s="6">
        <f>F13*$B$5</f>
        <v>11.395296000000005</v>
      </c>
      <c r="G14" s="6">
        <f>G13*$B$5</f>
        <v>12.192966720000006</v>
      </c>
    </row>
    <row r="15" spans="1:7" x14ac:dyDescent="0.2">
      <c r="A15" s="7" t="s">
        <v>55</v>
      </c>
      <c r="B15" s="9"/>
      <c r="C15" s="8">
        <v>1.2</v>
      </c>
      <c r="D15" s="8">
        <v>1.3</v>
      </c>
      <c r="E15" s="8">
        <v>1.4</v>
      </c>
      <c r="F15" s="8">
        <v>1.5</v>
      </c>
      <c r="G15" s="8">
        <v>1.6</v>
      </c>
    </row>
    <row r="16" spans="1:7" x14ac:dyDescent="0.2">
      <c r="A16" s="17" t="s">
        <v>56</v>
      </c>
      <c r="B16" s="19"/>
      <c r="C16" s="19">
        <f>C14-C15</f>
        <v>7.6000000000000023</v>
      </c>
      <c r="D16" s="19">
        <f>D14-D15</f>
        <v>8.3800000000000008</v>
      </c>
      <c r="E16" s="19">
        <f>E14-E15</f>
        <v>9.1512000000000029</v>
      </c>
      <c r="F16" s="19">
        <f>F14-F15</f>
        <v>9.8952960000000054</v>
      </c>
      <c r="G16" s="19">
        <f>G14-G15</f>
        <v>10.592966720000007</v>
      </c>
    </row>
    <row r="17" spans="1:7" x14ac:dyDescent="0.2">
      <c r="A17" s="7" t="s">
        <v>57</v>
      </c>
      <c r="B17" s="9"/>
      <c r="C17" s="9">
        <f>MAX(0,C16)*$B$7</f>
        <v>2.6600000000000006</v>
      </c>
      <c r="D17" s="9">
        <f>MAX(0,D16)*$B$7</f>
        <v>2.9330000000000003</v>
      </c>
      <c r="E17" s="9">
        <f>MAX(0,E16)*$B$7</f>
        <v>3.2029200000000007</v>
      </c>
      <c r="F17" s="9">
        <f>MAX(0,F16)*$B$7</f>
        <v>3.4633536000000018</v>
      </c>
      <c r="G17" s="9">
        <f>MAX(0,G16)*$B$7</f>
        <v>3.707538352000002</v>
      </c>
    </row>
    <row r="18" spans="1:7" x14ac:dyDescent="0.2">
      <c r="A18" s="17" t="s">
        <v>58</v>
      </c>
      <c r="B18" s="19"/>
      <c r="C18" s="19">
        <f>C16-C17</f>
        <v>4.9400000000000013</v>
      </c>
      <c r="D18" s="19">
        <f>D16-D17</f>
        <v>5.447000000000001</v>
      </c>
      <c r="E18" s="19">
        <f>E16-E17</f>
        <v>5.9482800000000022</v>
      </c>
      <c r="F18" s="19">
        <f>F16-F17</f>
        <v>6.4319424000000041</v>
      </c>
      <c r="G18" s="19">
        <f>G16-G17</f>
        <v>6.8854283680000048</v>
      </c>
    </row>
    <row r="19" spans="1:7" x14ac:dyDescent="0.2">
      <c r="A19" s="7" t="s">
        <v>59</v>
      </c>
      <c r="B19" s="9"/>
      <c r="C19" s="9">
        <f>C15</f>
        <v>1.2</v>
      </c>
      <c r="D19" s="9">
        <f>D15</f>
        <v>1.3</v>
      </c>
      <c r="E19" s="9">
        <f>E15</f>
        <v>1.4</v>
      </c>
      <c r="F19" s="9">
        <f>F15</f>
        <v>1.5</v>
      </c>
      <c r="G19" s="9">
        <f>G15</f>
        <v>1.6</v>
      </c>
    </row>
    <row r="20" spans="1:7" x14ac:dyDescent="0.2">
      <c r="A20" s="4" t="s">
        <v>60</v>
      </c>
      <c r="B20" s="6"/>
      <c r="C20" s="5">
        <v>3.5</v>
      </c>
      <c r="D20" s="5">
        <v>3.5</v>
      </c>
      <c r="E20" s="5">
        <v>2</v>
      </c>
      <c r="F20" s="5">
        <v>2</v>
      </c>
      <c r="G20" s="5">
        <v>2.1</v>
      </c>
    </row>
    <row r="21" spans="1:7" x14ac:dyDescent="0.2">
      <c r="A21" s="7" t="s">
        <v>61</v>
      </c>
      <c r="B21" s="9">
        <f t="shared" ref="B21:G21" si="0">B13*$B$6</f>
        <v>6.75</v>
      </c>
      <c r="C21" s="9">
        <f t="shared" si="0"/>
        <v>7.4250000000000007</v>
      </c>
      <c r="D21" s="9">
        <f t="shared" si="0"/>
        <v>8.1675000000000004</v>
      </c>
      <c r="E21" s="9">
        <f t="shared" si="0"/>
        <v>8.9025750000000023</v>
      </c>
      <c r="F21" s="9">
        <f t="shared" si="0"/>
        <v>9.6147810000000042</v>
      </c>
      <c r="G21" s="9">
        <f t="shared" si="0"/>
        <v>10.287815670000006</v>
      </c>
    </row>
    <row r="22" spans="1:7" x14ac:dyDescent="0.2">
      <c r="A22" s="4" t="s">
        <v>62</v>
      </c>
      <c r="B22" s="6"/>
      <c r="C22" s="6">
        <f>C21-B21</f>
        <v>0.67500000000000071</v>
      </c>
      <c r="D22" s="6">
        <f>D21-C21</f>
        <v>0.74249999999999972</v>
      </c>
      <c r="E22" s="6">
        <f>E21-D21</f>
        <v>0.73507500000000192</v>
      </c>
      <c r="F22" s="6">
        <f>F21-E21</f>
        <v>0.71220600000000189</v>
      </c>
      <c r="G22" s="6">
        <f>G21-F21</f>
        <v>0.67303467000000161</v>
      </c>
    </row>
    <row r="23" spans="1:7" x14ac:dyDescent="0.2">
      <c r="A23" s="20" t="s">
        <v>63</v>
      </c>
      <c r="B23" s="21"/>
      <c r="C23" s="21">
        <f>C18+C19-C20-C22</f>
        <v>1.9650000000000007</v>
      </c>
      <c r="D23" s="21">
        <f>D18+D19-D20-D22</f>
        <v>2.5045000000000011</v>
      </c>
      <c r="E23" s="21">
        <f>E18+E19-E20-E22</f>
        <v>4.6132050000000007</v>
      </c>
      <c r="F23" s="21">
        <f>F18+F19-F20-F22</f>
        <v>5.2197364000000022</v>
      </c>
      <c r="G23" s="21">
        <f>G18+G19-G20-G22</f>
        <v>5.7123936980000032</v>
      </c>
    </row>
    <row r="25" spans="1:7" x14ac:dyDescent="0.2">
      <c r="A25" s="17" t="s">
        <v>64</v>
      </c>
      <c r="G25" s="19">
        <f>G23*(1+B9)/(B8-B9)</f>
        <v>73.811828682022494</v>
      </c>
    </row>
    <row r="26" spans="1:7" x14ac:dyDescent="0.2">
      <c r="A26" s="4" t="s">
        <v>65</v>
      </c>
      <c r="C26" s="22">
        <f>1/(1+$B$8)^1</f>
        <v>0.89678055779750698</v>
      </c>
      <c r="D26" s="22">
        <f>1/(1+$B$8)^2</f>
        <v>0.80421536884360767</v>
      </c>
      <c r="E26" s="22">
        <f>1/(1+$B$8)^3</f>
        <v>0.72120470706089834</v>
      </c>
      <c r="F26" s="22">
        <f>1/(1+$B$8)^4</f>
        <v>0.64676235948425997</v>
      </c>
      <c r="G26" s="22">
        <f>1/(1+$B$8)^5</f>
        <v>0.58000390950072633</v>
      </c>
    </row>
    <row r="27" spans="1:7" x14ac:dyDescent="0.2">
      <c r="A27" s="4" t="s">
        <v>66</v>
      </c>
      <c r="C27" s="6">
        <f>(C23)*C26</f>
        <v>1.7621737960721018</v>
      </c>
      <c r="D27" s="6">
        <f>(D23)*D26</f>
        <v>2.0141573912688164</v>
      </c>
      <c r="E27" s="6">
        <f>(E23)*E26</f>
        <v>3.327065160636872</v>
      </c>
      <c r="F27" s="6">
        <f>(F23)*F26</f>
        <v>3.3759290299498783</v>
      </c>
      <c r="G27" s="6">
        <f>(G23+G25)*G26</f>
        <v>46.124359880418204</v>
      </c>
    </row>
    <row r="29" spans="1:7" x14ac:dyDescent="0.2">
      <c r="A29" s="17" t="s">
        <v>67</v>
      </c>
      <c r="B29" s="19">
        <f>SUM(C27:G27)</f>
        <v>56.603685258345877</v>
      </c>
    </row>
    <row r="30" spans="1:7" x14ac:dyDescent="0.2">
      <c r="A30" s="4" t="s">
        <v>68</v>
      </c>
      <c r="B30" s="23">
        <f>B29/'Datos del caso'!C5</f>
        <v>7.0754606572932346</v>
      </c>
    </row>
    <row r="32" spans="1:7" x14ac:dyDescent="0.2">
      <c r="A32" s="14" t="s">
        <v>69</v>
      </c>
    </row>
  </sheetData>
  <pageMargins left="0.75" right="0.75" top="1" bottom="1" header="0.511811023622047" footer="0.511811023622047"/>
  <pageSetup fitToHeight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E20"/>
  <sheetViews>
    <sheetView zoomScale="135" zoomScaleNormal="135" workbookViewId="0">
      <selection activeCell="A19" sqref="A19"/>
    </sheetView>
  </sheetViews>
  <sheetFormatPr baseColWidth="10" defaultColWidth="8.6640625" defaultRowHeight="15" x14ac:dyDescent="0.2"/>
  <cols>
    <col min="1" max="1" width="30" customWidth="1"/>
    <col min="2" max="2" width="46" customWidth="1"/>
    <col min="3" max="4" width="11" customWidth="1"/>
    <col min="5" max="5" width="44" customWidth="1"/>
  </cols>
  <sheetData>
    <row r="1" spans="1:5" ht="15.75" customHeight="1" x14ac:dyDescent="0.2">
      <c r="A1" s="1" t="s">
        <v>70</v>
      </c>
    </row>
    <row r="3" spans="1:5" x14ac:dyDescent="0.2">
      <c r="A3" s="2" t="s">
        <v>71</v>
      </c>
      <c r="B3" s="2" t="s">
        <v>1</v>
      </c>
      <c r="C3" s="3" t="s">
        <v>72</v>
      </c>
      <c r="D3" s="3" t="s">
        <v>73</v>
      </c>
      <c r="E3" s="2" t="s">
        <v>74</v>
      </c>
    </row>
    <row r="4" spans="1:5" x14ac:dyDescent="0.2">
      <c r="A4" s="4" t="s">
        <v>75</v>
      </c>
      <c r="D4" s="24">
        <v>7.5</v>
      </c>
      <c r="E4" s="4" t="s">
        <v>76</v>
      </c>
    </row>
    <row r="5" spans="1:5" x14ac:dyDescent="0.2">
      <c r="A5" s="4" t="s">
        <v>77</v>
      </c>
      <c r="B5" s="25" t="s">
        <v>78</v>
      </c>
      <c r="C5" s="6"/>
      <c r="D5" s="6">
        <f>'Datos del caso'!C5*D4</f>
        <v>60</v>
      </c>
      <c r="E5" s="4" t="s">
        <v>79</v>
      </c>
    </row>
    <row r="6" spans="1:5" x14ac:dyDescent="0.2">
      <c r="A6" s="7" t="s">
        <v>80</v>
      </c>
      <c r="B6" s="26" t="s">
        <v>81</v>
      </c>
      <c r="C6" s="9">
        <f>D6-D5</f>
        <v>-3.3963147416541233</v>
      </c>
      <c r="D6" s="9">
        <f>'DCF NutriFun'!B29</f>
        <v>56.603685258345877</v>
      </c>
      <c r="E6" s="7" t="s">
        <v>82</v>
      </c>
    </row>
    <row r="7" spans="1:5" x14ac:dyDescent="0.2">
      <c r="A7" s="4"/>
      <c r="B7" s="25" t="s">
        <v>83</v>
      </c>
      <c r="C7" s="5">
        <v>-1.8</v>
      </c>
      <c r="D7" s="6"/>
      <c r="E7" s="4" t="s">
        <v>84</v>
      </c>
    </row>
    <row r="8" spans="1:5" x14ac:dyDescent="0.2">
      <c r="A8" s="7"/>
      <c r="B8" s="26" t="s">
        <v>85</v>
      </c>
      <c r="C8" s="8">
        <v>-2.8</v>
      </c>
      <c r="D8" s="9"/>
      <c r="E8" s="7" t="s">
        <v>86</v>
      </c>
    </row>
    <row r="9" spans="1:5" x14ac:dyDescent="0.2">
      <c r="A9" s="17"/>
      <c r="B9" s="27" t="s">
        <v>87</v>
      </c>
      <c r="C9" s="19"/>
      <c r="D9" s="19">
        <f>D6+C7+C8</f>
        <v>52.003685258345882</v>
      </c>
      <c r="E9" s="17" t="s">
        <v>88</v>
      </c>
    </row>
    <row r="10" spans="1:5" x14ac:dyDescent="0.2">
      <c r="A10" s="7" t="s">
        <v>89</v>
      </c>
      <c r="B10" s="26" t="s">
        <v>90</v>
      </c>
      <c r="C10" s="8">
        <v>-1.2</v>
      </c>
      <c r="D10" s="9"/>
      <c r="E10" s="7" t="s">
        <v>91</v>
      </c>
    </row>
    <row r="11" spans="1:5" x14ac:dyDescent="0.2">
      <c r="A11" s="4"/>
      <c r="B11" s="25" t="s">
        <v>92</v>
      </c>
      <c r="C11" s="5">
        <v>-0.8</v>
      </c>
      <c r="D11" s="6"/>
      <c r="E11" s="4" t="s">
        <v>93</v>
      </c>
    </row>
    <row r="12" spans="1:5" x14ac:dyDescent="0.2">
      <c r="A12" s="20"/>
      <c r="B12" s="28" t="s">
        <v>94</v>
      </c>
      <c r="C12" s="21"/>
      <c r="D12" s="21">
        <f>D9+C10+C11</f>
        <v>50.003685258345882</v>
      </c>
      <c r="E12" s="20" t="s">
        <v>95</v>
      </c>
    </row>
    <row r="13" spans="1:5" x14ac:dyDescent="0.2">
      <c r="A13" s="4"/>
      <c r="B13" s="25" t="s">
        <v>96</v>
      </c>
      <c r="C13" s="6">
        <f>-'Datos del caso'!C6</f>
        <v>-10</v>
      </c>
      <c r="D13" s="6"/>
      <c r="E13" s="4" t="s">
        <v>97</v>
      </c>
    </row>
    <row r="14" spans="1:5" x14ac:dyDescent="0.2">
      <c r="A14" s="20"/>
      <c r="B14" s="28" t="s">
        <v>98</v>
      </c>
      <c r="C14" s="21"/>
      <c r="D14" s="21">
        <f>D12+C13</f>
        <v>40.003685258345882</v>
      </c>
      <c r="E14" s="20" t="s">
        <v>99</v>
      </c>
    </row>
    <row r="17" spans="1:5" x14ac:dyDescent="0.2">
      <c r="A17" s="4" t="s">
        <v>100</v>
      </c>
      <c r="D17" s="6">
        <f>D12-D5</f>
        <v>-9.9963147416541176</v>
      </c>
      <c r="E17" s="12">
        <f>D17/D5</f>
        <v>-0.16660524569423529</v>
      </c>
    </row>
    <row r="18" spans="1:5" x14ac:dyDescent="0.2">
      <c r="A18" s="4" t="s">
        <v>101</v>
      </c>
      <c r="D18" s="23">
        <f>D12/'Datos del caso'!C5</f>
        <v>6.2504606572932353</v>
      </c>
    </row>
    <row r="20" spans="1:5" x14ac:dyDescent="0.2">
      <c r="A20" s="14" t="s">
        <v>102</v>
      </c>
    </row>
  </sheetData>
  <pageMargins left="0.75" right="0.75" top="1" bottom="1" header="0.511811023622047" footer="0.511811023622047"/>
  <pageSetup fitToHeight="0"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I41"/>
  <sheetViews>
    <sheetView topLeftCell="A9" zoomScaleNormal="100" workbookViewId="0">
      <selection activeCell="H36" sqref="H36"/>
    </sheetView>
  </sheetViews>
  <sheetFormatPr baseColWidth="10" defaultColWidth="8.6640625" defaultRowHeight="15" x14ac:dyDescent="0.2"/>
  <cols>
    <col min="1" max="1" width="52" customWidth="1"/>
    <col min="2" max="9" width="12" customWidth="1"/>
  </cols>
  <sheetData>
    <row r="1" spans="1:6" ht="15.75" customHeight="1" x14ac:dyDescent="0.2">
      <c r="A1" s="1" t="s">
        <v>103</v>
      </c>
    </row>
    <row r="3" spans="1:6" x14ac:dyDescent="0.2">
      <c r="A3" s="2" t="s">
        <v>20</v>
      </c>
      <c r="B3" s="3" t="s">
        <v>15</v>
      </c>
      <c r="C3" s="2" t="s">
        <v>16</v>
      </c>
    </row>
    <row r="4" spans="1:6" x14ac:dyDescent="0.2">
      <c r="A4" s="4" t="s">
        <v>104</v>
      </c>
      <c r="B4" s="15">
        <v>0.55000000000000004</v>
      </c>
      <c r="C4" s="4" t="s">
        <v>20</v>
      </c>
    </row>
    <row r="5" spans="1:6" x14ac:dyDescent="0.2">
      <c r="A5" s="7" t="s">
        <v>105</v>
      </c>
      <c r="B5" s="10">
        <v>0.1</v>
      </c>
      <c r="C5" s="7" t="s">
        <v>106</v>
      </c>
    </row>
    <row r="6" spans="1:6" x14ac:dyDescent="0.2">
      <c r="A6" s="4" t="s">
        <v>107</v>
      </c>
      <c r="B6" s="15">
        <v>0.18</v>
      </c>
      <c r="C6" s="4" t="s">
        <v>108</v>
      </c>
    </row>
    <row r="7" spans="1:6" x14ac:dyDescent="0.2">
      <c r="A7" s="7" t="s">
        <v>109</v>
      </c>
      <c r="B7" s="9">
        <f>'Precio en 3 momentos'!D12</f>
        <v>50.003685258345882</v>
      </c>
      <c r="C7" s="7" t="s">
        <v>110</v>
      </c>
    </row>
    <row r="9" spans="1:6" x14ac:dyDescent="0.2">
      <c r="A9" s="2" t="s">
        <v>1</v>
      </c>
      <c r="B9" s="3" t="s">
        <v>48</v>
      </c>
      <c r="C9" s="3" t="s">
        <v>49</v>
      </c>
      <c r="D9" s="3" t="s">
        <v>50</v>
      </c>
      <c r="E9" s="3" t="s">
        <v>51</v>
      </c>
      <c r="F9" s="3" t="s">
        <v>52</v>
      </c>
    </row>
    <row r="10" spans="1:6" x14ac:dyDescent="0.2">
      <c r="A10" s="25" t="s">
        <v>111</v>
      </c>
      <c r="B10" s="29">
        <v>0.5</v>
      </c>
      <c r="C10" s="29">
        <v>1</v>
      </c>
      <c r="D10" s="29">
        <v>1</v>
      </c>
      <c r="E10" s="29">
        <v>1</v>
      </c>
      <c r="F10" s="29">
        <v>1</v>
      </c>
    </row>
    <row r="11" spans="1:6" x14ac:dyDescent="0.2">
      <c r="A11" s="26" t="s">
        <v>112</v>
      </c>
      <c r="B11" s="9">
        <f>'DCF NutriFun'!C13</f>
        <v>49.500000000000007</v>
      </c>
      <c r="C11" s="9">
        <f>'DCF NutriFun'!D13</f>
        <v>54.45000000000001</v>
      </c>
      <c r="D11" s="9">
        <f>'DCF NutriFun'!E13</f>
        <v>59.350500000000018</v>
      </c>
      <c r="E11" s="9">
        <f>'DCF NutriFun'!F13</f>
        <v>64.098540000000028</v>
      </c>
      <c r="F11" s="9">
        <f>'DCF NutriFun'!G13</f>
        <v>68.585437800000037</v>
      </c>
    </row>
    <row r="12" spans="1:6" x14ac:dyDescent="0.2">
      <c r="A12" s="25" t="s">
        <v>113</v>
      </c>
      <c r="B12" s="6">
        <f>B11*$B$4*$B$5*B10</f>
        <v>1.3612500000000003</v>
      </c>
      <c r="C12" s="6">
        <f>C11*$B$4*$B$5*C10</f>
        <v>2.9947500000000011</v>
      </c>
      <c r="D12" s="6">
        <f>D11*$B$4*$B$5*D10</f>
        <v>3.2642775000000017</v>
      </c>
      <c r="E12" s="6">
        <f>E11*$B$4*$B$5*E10</f>
        <v>3.5254197000000023</v>
      </c>
      <c r="F12" s="6">
        <f>F11*$B$4*$B$5*F10</f>
        <v>3.7721990790000022</v>
      </c>
    </row>
    <row r="13" spans="1:6" ht="27.75" customHeight="1" x14ac:dyDescent="0.2">
      <c r="A13" s="26" t="s">
        <v>114</v>
      </c>
      <c r="B13" s="8">
        <v>5</v>
      </c>
      <c r="C13" s="8">
        <v>10</v>
      </c>
      <c r="D13" s="8">
        <v>15</v>
      </c>
      <c r="E13" s="8">
        <v>16</v>
      </c>
      <c r="F13" s="8">
        <v>17</v>
      </c>
    </row>
    <row r="14" spans="1:6" x14ac:dyDescent="0.2">
      <c r="A14" s="25" t="s">
        <v>115</v>
      </c>
      <c r="B14" s="6">
        <f>B13*$B$6</f>
        <v>0.89999999999999991</v>
      </c>
      <c r="C14" s="6">
        <f>C13*$B$6</f>
        <v>1.7999999999999998</v>
      </c>
      <c r="D14" s="6">
        <f>D13*$B$6</f>
        <v>2.6999999999999997</v>
      </c>
      <c r="E14" s="6">
        <f>E13*$B$6</f>
        <v>2.88</v>
      </c>
      <c r="F14" s="6">
        <f>F13*$B$6</f>
        <v>3.06</v>
      </c>
    </row>
    <row r="15" spans="1:6" x14ac:dyDescent="0.2">
      <c r="A15" s="26" t="s">
        <v>116</v>
      </c>
      <c r="B15" s="8">
        <v>2</v>
      </c>
      <c r="C15" s="8">
        <v>1</v>
      </c>
      <c r="D15" s="8">
        <v>0</v>
      </c>
      <c r="E15" s="8">
        <v>0</v>
      </c>
      <c r="F15" s="8">
        <v>0</v>
      </c>
    </row>
    <row r="16" spans="1:6" x14ac:dyDescent="0.2">
      <c r="A16" s="27" t="s">
        <v>117</v>
      </c>
      <c r="B16" s="19">
        <f>B12+B14-B15</f>
        <v>0.26125000000000043</v>
      </c>
      <c r="C16" s="19">
        <f>C12+C14-C15</f>
        <v>3.7947500000000005</v>
      </c>
      <c r="D16" s="19">
        <f>D12+D14-D15</f>
        <v>5.9642775000000015</v>
      </c>
      <c r="E16" s="19">
        <f>E12+E14-E15</f>
        <v>6.4054197000000022</v>
      </c>
      <c r="F16" s="19">
        <f>F12+F14-F15</f>
        <v>6.8321990790000022</v>
      </c>
    </row>
    <row r="17" spans="1:6" x14ac:dyDescent="0.2">
      <c r="A17" s="28" t="s">
        <v>118</v>
      </c>
      <c r="B17" s="21">
        <f>B16*(1-'Costo de capital'!$B$10)</f>
        <v>0.16981250000000028</v>
      </c>
      <c r="C17" s="21">
        <f>C16*(1-'Costo de capital'!$B$10)</f>
        <v>2.4665875000000006</v>
      </c>
      <c r="D17" s="21">
        <f>D16*(1-'Costo de capital'!$B$10)</f>
        <v>3.8767803750000009</v>
      </c>
      <c r="E17" s="21">
        <f>E16*(1-'Costo de capital'!$B$10)</f>
        <v>4.1635228050000013</v>
      </c>
      <c r="F17" s="21">
        <f>F16*(1-'Costo de capital'!$B$10)</f>
        <v>4.4409294013500018</v>
      </c>
    </row>
    <row r="18" spans="1:6" x14ac:dyDescent="0.2">
      <c r="A18" s="25" t="s">
        <v>119</v>
      </c>
      <c r="B18" s="6">
        <f>'DCF NutriFun'!C23</f>
        <v>1.9650000000000007</v>
      </c>
      <c r="C18" s="6">
        <f>'DCF NutriFun'!D23</f>
        <v>2.5045000000000011</v>
      </c>
      <c r="D18" s="6">
        <f>'DCF NutriFun'!E23</f>
        <v>4.6132050000000007</v>
      </c>
      <c r="E18" s="6">
        <f>'DCF NutriFun'!F23</f>
        <v>5.2197364000000022</v>
      </c>
      <c r="F18" s="6">
        <f>'DCF NutriFun'!G23</f>
        <v>5.7123936980000032</v>
      </c>
    </row>
    <row r="19" spans="1:6" x14ac:dyDescent="0.2">
      <c r="A19" s="28" t="s">
        <v>120</v>
      </c>
      <c r="B19" s="21">
        <f>B17+B18</f>
        <v>2.1348125000000011</v>
      </c>
      <c r="C19" s="21">
        <f>C17+C18</f>
        <v>4.9710875000000012</v>
      </c>
      <c r="D19" s="21">
        <f>D17+D18</f>
        <v>8.4899853750000016</v>
      </c>
      <c r="E19" s="21">
        <f>E17+E18</f>
        <v>9.3832592050000034</v>
      </c>
      <c r="F19" s="21">
        <f>F17+F18</f>
        <v>10.153323099350004</v>
      </c>
    </row>
    <row r="20" spans="1:6" x14ac:dyDescent="0.2">
      <c r="A20" s="25" t="s">
        <v>121</v>
      </c>
      <c r="B20" s="6">
        <f>-$B$7+B19</f>
        <v>-47.86887275834588</v>
      </c>
      <c r="C20" s="6">
        <f>B20+C19</f>
        <v>-42.897785258345877</v>
      </c>
      <c r="D20" s="6">
        <f>C20+D19</f>
        <v>-34.407799883345874</v>
      </c>
      <c r="E20" s="6">
        <f>D20+E19</f>
        <v>-25.024540678345872</v>
      </c>
      <c r="F20" s="6">
        <f>E20+F19</f>
        <v>-14.871217578995868</v>
      </c>
    </row>
    <row r="22" spans="1:6" x14ac:dyDescent="0.2">
      <c r="A22" s="17" t="s">
        <v>122</v>
      </c>
      <c r="B22" s="19">
        <f>SUMPRODUCT(B17:F17,'DCF NutriFun'!C26:G26)+F17*(1+'DCF NutriFun'!B9)/('DCF NutriFun'!B8-'DCF NutriFun'!B9)*'DCF NutriFun'!G26</f>
        <v>43.482716433613497</v>
      </c>
    </row>
    <row r="23" spans="1:6" x14ac:dyDescent="0.2">
      <c r="A23" s="4" t="s">
        <v>123</v>
      </c>
      <c r="B23" s="6">
        <f>'DCF NutriFun'!B29</f>
        <v>56.603685258345877</v>
      </c>
    </row>
    <row r="24" spans="1:6" x14ac:dyDescent="0.2">
      <c r="A24" s="4" t="s">
        <v>124</v>
      </c>
      <c r="B24" s="6">
        <f>'Precio en 3 momentos'!C7+'Precio en 3 momentos'!C8</f>
        <v>-4.5999999999999996</v>
      </c>
    </row>
    <row r="25" spans="1:6" x14ac:dyDescent="0.2">
      <c r="A25" s="4" t="s">
        <v>125</v>
      </c>
      <c r="B25" s="6">
        <f>-B7</f>
        <v>-50.003685258345882</v>
      </c>
    </row>
    <row r="26" spans="1:6" x14ac:dyDescent="0.2">
      <c r="A26" s="17" t="s">
        <v>126</v>
      </c>
      <c r="B26" s="19">
        <f>B22+B23+B24+B25</f>
        <v>45.48271643361349</v>
      </c>
    </row>
    <row r="28" spans="1:6" x14ac:dyDescent="0.2">
      <c r="A28" s="17" t="s">
        <v>127</v>
      </c>
      <c r="B28" s="30">
        <f>MATCH(TRUE(),INDEX(B37:I37&gt;=0,0),0)</f>
        <v>7</v>
      </c>
    </row>
    <row r="29" spans="1:6" x14ac:dyDescent="0.2">
      <c r="A29" s="4" t="s">
        <v>106</v>
      </c>
      <c r="B29" s="31">
        <v>5</v>
      </c>
    </row>
    <row r="30" spans="1:6" x14ac:dyDescent="0.2">
      <c r="A30" s="4" t="s">
        <v>128</v>
      </c>
      <c r="B30" s="32" t="str">
        <f>IF(B28&lt;=B29,"Sí","No")</f>
        <v>No</v>
      </c>
    </row>
    <row r="31" spans="1:6" x14ac:dyDescent="0.2">
      <c r="A31" s="4" t="s">
        <v>129</v>
      </c>
      <c r="B31" s="33">
        <f>(B28-1)+(-INDEX(B37:I37,B28-1))/INDEX(B36:I36,B28)</f>
        <v>6.4010969303928178</v>
      </c>
    </row>
    <row r="33" spans="1:9" x14ac:dyDescent="0.2">
      <c r="A33" s="34" t="s">
        <v>130</v>
      </c>
    </row>
    <row r="34" spans="1:9" x14ac:dyDescent="0.2">
      <c r="A34" s="2" t="s">
        <v>1</v>
      </c>
      <c r="B34" s="3" t="s">
        <v>131</v>
      </c>
      <c r="C34" s="3" t="s">
        <v>132</v>
      </c>
      <c r="D34" s="3" t="s">
        <v>133</v>
      </c>
      <c r="E34" s="3" t="s">
        <v>134</v>
      </c>
      <c r="F34" s="3" t="s">
        <v>135</v>
      </c>
      <c r="G34" s="3" t="s">
        <v>136</v>
      </c>
      <c r="H34" s="3" t="s">
        <v>137</v>
      </c>
      <c r="I34" s="3" t="s">
        <v>138</v>
      </c>
    </row>
    <row r="35" spans="1:9" x14ac:dyDescent="0.2">
      <c r="A35" s="4" t="s">
        <v>139</v>
      </c>
      <c r="B35" s="6" t="s">
        <v>140</v>
      </c>
      <c r="C35" s="6" t="s">
        <v>140</v>
      </c>
      <c r="D35" s="6" t="s">
        <v>140</v>
      </c>
      <c r="E35" s="6" t="s">
        <v>140</v>
      </c>
      <c r="F35" s="6" t="s">
        <v>140</v>
      </c>
      <c r="G35" s="6" t="s">
        <v>141</v>
      </c>
      <c r="H35" s="6" t="s">
        <v>141</v>
      </c>
      <c r="I35" s="6" t="s">
        <v>141</v>
      </c>
    </row>
    <row r="36" spans="1:9" x14ac:dyDescent="0.2">
      <c r="A36" s="20" t="s">
        <v>120</v>
      </c>
      <c r="B36" s="21">
        <f>B19</f>
        <v>2.1348125000000011</v>
      </c>
      <c r="C36" s="21">
        <f>C19</f>
        <v>4.9710875000000012</v>
      </c>
      <c r="D36" s="21">
        <f>D19</f>
        <v>8.4899853750000016</v>
      </c>
      <c r="E36" s="21">
        <f>E19</f>
        <v>9.3832592050000034</v>
      </c>
      <c r="F36" s="21">
        <f>F19</f>
        <v>10.153323099350004</v>
      </c>
      <c r="G36" s="21">
        <f>F36*(1+'DCF NutriFun'!$B$9)</f>
        <v>10.508689407827253</v>
      </c>
      <c r="H36" s="21">
        <f>G36*(1+'DCF NutriFun'!$B$9)</f>
        <v>10.876493537101206</v>
      </c>
      <c r="I36" s="21">
        <f>H36*(1+'DCF NutriFun'!$B$9)</f>
        <v>11.257170810899748</v>
      </c>
    </row>
    <row r="37" spans="1:9" x14ac:dyDescent="0.2">
      <c r="A37" s="4" t="s">
        <v>121</v>
      </c>
      <c r="B37" s="6">
        <f>-$B$7+B36</f>
        <v>-47.86887275834588</v>
      </c>
      <c r="C37" s="6">
        <f t="shared" ref="C37:I37" si="0">B37+C36</f>
        <v>-42.897785258345877</v>
      </c>
      <c r="D37" s="6">
        <f t="shared" si="0"/>
        <v>-34.407799883345874</v>
      </c>
      <c r="E37" s="6">
        <f t="shared" si="0"/>
        <v>-25.024540678345872</v>
      </c>
      <c r="F37" s="6">
        <f t="shared" si="0"/>
        <v>-14.871217578995868</v>
      </c>
      <c r="G37" s="6">
        <f t="shared" si="0"/>
        <v>-4.3625281711686146</v>
      </c>
      <c r="H37" s="6">
        <f t="shared" si="0"/>
        <v>6.5139653659325916</v>
      </c>
      <c r="I37" s="6">
        <f t="shared" si="0"/>
        <v>17.771136176832339</v>
      </c>
    </row>
    <row r="38" spans="1:9" x14ac:dyDescent="0.2">
      <c r="A38" s="7" t="s">
        <v>142</v>
      </c>
      <c r="B38" s="9" t="str">
        <f t="shared" ref="B38:I38" si="1">IF(B37&gt;=0,"Sí","No")</f>
        <v>No</v>
      </c>
      <c r="C38" s="9" t="str">
        <f t="shared" si="1"/>
        <v>No</v>
      </c>
      <c r="D38" s="9" t="str">
        <f t="shared" si="1"/>
        <v>No</v>
      </c>
      <c r="E38" s="9" t="str">
        <f t="shared" si="1"/>
        <v>No</v>
      </c>
      <c r="F38" s="9" t="str">
        <f t="shared" si="1"/>
        <v>No</v>
      </c>
      <c r="G38" s="9" t="str">
        <f t="shared" si="1"/>
        <v>No</v>
      </c>
      <c r="H38" s="9" t="str">
        <f t="shared" si="1"/>
        <v>Sí</v>
      </c>
      <c r="I38" s="9" t="str">
        <f t="shared" si="1"/>
        <v>Sí</v>
      </c>
    </row>
    <row r="40" spans="1:9" x14ac:dyDescent="0.2">
      <c r="A40" s="14" t="s">
        <v>143</v>
      </c>
    </row>
    <row r="41" spans="1:9" x14ac:dyDescent="0.2">
      <c r="A41" s="14" t="s">
        <v>144</v>
      </c>
    </row>
  </sheetData>
  <pageMargins left="0.75" right="0.75" top="1" bottom="1" header="0.511811023622047" footer="0.511811023622047"/>
  <pageSetup fitToHeight="0" orientation="landscape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E13"/>
  <sheetViews>
    <sheetView zoomScaleNormal="100" workbookViewId="0"/>
  </sheetViews>
  <sheetFormatPr baseColWidth="10" defaultColWidth="8.6640625" defaultRowHeight="15" x14ac:dyDescent="0.2"/>
  <cols>
    <col min="1" max="1" width="44" customWidth="1"/>
    <col min="2" max="2" width="10" customWidth="1"/>
    <col min="3" max="4" width="12" customWidth="1"/>
    <col min="5" max="5" width="58" customWidth="1"/>
  </cols>
  <sheetData>
    <row r="1" spans="1:5" ht="15.75" customHeight="1" x14ac:dyDescent="0.2">
      <c r="A1" s="1" t="s">
        <v>145</v>
      </c>
    </row>
    <row r="3" spans="1:5" x14ac:dyDescent="0.2">
      <c r="A3" s="2" t="s">
        <v>20</v>
      </c>
      <c r="B3" s="3" t="s">
        <v>15</v>
      </c>
      <c r="C3" s="2" t="s">
        <v>16</v>
      </c>
    </row>
    <row r="4" spans="1:5" x14ac:dyDescent="0.2">
      <c r="A4" s="4" t="s">
        <v>146</v>
      </c>
      <c r="B4" s="15">
        <v>0.04</v>
      </c>
      <c r="C4" s="4" t="s">
        <v>147</v>
      </c>
    </row>
    <row r="5" spans="1:5" x14ac:dyDescent="0.2">
      <c r="A5" s="7" t="s">
        <v>148</v>
      </c>
      <c r="B5" s="10">
        <v>0.05</v>
      </c>
      <c r="C5" s="7" t="s">
        <v>20</v>
      </c>
    </row>
    <row r="7" spans="1:5" x14ac:dyDescent="0.2">
      <c r="A7" s="2" t="s">
        <v>149</v>
      </c>
      <c r="B7" s="3" t="s">
        <v>150</v>
      </c>
      <c r="C7" s="3" t="s">
        <v>151</v>
      </c>
      <c r="D7" s="3" t="s">
        <v>152</v>
      </c>
      <c r="E7" s="2" t="s">
        <v>153</v>
      </c>
    </row>
    <row r="8" spans="1:5" x14ac:dyDescent="0.2">
      <c r="A8" s="25" t="s">
        <v>154</v>
      </c>
      <c r="B8" s="5">
        <v>40</v>
      </c>
      <c r="C8" s="6">
        <f>'Datos del caso'!B5*(1+B4)^3+'DCF NutriFun'!E14+'Sinergias y VPN'!D16</f>
        <v>44.637077500000004</v>
      </c>
      <c r="D8" s="32" t="str">
        <f>IF(C8&gt;=B8,"Sí","No")</f>
        <v>Sí</v>
      </c>
      <c r="E8" s="25" t="s">
        <v>155</v>
      </c>
    </row>
    <row r="9" spans="1:5" x14ac:dyDescent="0.2">
      <c r="A9" s="26" t="s">
        <v>156</v>
      </c>
      <c r="B9" s="10">
        <v>0.2</v>
      </c>
      <c r="C9" s="11">
        <f>('Datos del caso'!B4*(1+B5)+'DCF NutriFun'!C13+'Sinergias y VPN'!B13)/'Datos del caso'!D4-1</f>
        <v>9.3939393939393989E-2</v>
      </c>
      <c r="D9" s="35" t="str">
        <f>IF(C9&gt;=B9,"Sí","No")</f>
        <v>No</v>
      </c>
      <c r="E9" s="26" t="s">
        <v>157</v>
      </c>
    </row>
    <row r="10" spans="1:5" x14ac:dyDescent="0.2">
      <c r="A10" s="25" t="s">
        <v>158</v>
      </c>
      <c r="B10" s="36">
        <v>5</v>
      </c>
      <c r="C10" s="37">
        <f>'Sinergias y VPN'!B28</f>
        <v>7</v>
      </c>
      <c r="D10" s="32" t="str">
        <f>IF(C10&lt;=B10,"Sí","No")</f>
        <v>No</v>
      </c>
      <c r="E10" s="25" t="s">
        <v>159</v>
      </c>
    </row>
    <row r="11" spans="1:5" ht="27.75" customHeight="1" x14ac:dyDescent="0.2">
      <c r="A11" s="26" t="s">
        <v>160</v>
      </c>
      <c r="B11" s="10">
        <v>0.1</v>
      </c>
      <c r="C11" s="11">
        <f>'Sinergias y VPN'!D12/('DCF NutriFun'!E13*'Sinergias y VPN'!B4)</f>
        <v>0.1</v>
      </c>
      <c r="D11" s="35" t="str">
        <f>IF(C11&gt;=B11,"Sí","No")</f>
        <v>Sí</v>
      </c>
      <c r="E11" s="26" t="s">
        <v>161</v>
      </c>
    </row>
    <row r="13" spans="1:5" x14ac:dyDescent="0.2">
      <c r="A13" s="14" t="s">
        <v>162</v>
      </c>
    </row>
  </sheetData>
  <pageMargins left="0.75" right="0.75" top="1" bottom="1" header="0.511811023622047" footer="0.511811023622047"/>
  <pageSetup fitToHeight="0" orientation="landscape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E17"/>
  <sheetViews>
    <sheetView zoomScaleNormal="100" workbookViewId="0"/>
  </sheetViews>
  <sheetFormatPr baseColWidth="10" defaultColWidth="8.6640625" defaultRowHeight="15" x14ac:dyDescent="0.2"/>
  <cols>
    <col min="1" max="1" width="12" customWidth="1"/>
    <col min="2" max="2" width="30" customWidth="1"/>
    <col min="3" max="3" width="52" customWidth="1"/>
    <col min="4" max="4" width="34" customWidth="1"/>
    <col min="5" max="5" width="12" customWidth="1"/>
  </cols>
  <sheetData>
    <row r="1" spans="1:5" ht="15.75" customHeight="1" x14ac:dyDescent="0.2">
      <c r="A1" s="1" t="s">
        <v>163</v>
      </c>
    </row>
    <row r="3" spans="1:5" x14ac:dyDescent="0.2">
      <c r="A3" s="2" t="s">
        <v>164</v>
      </c>
      <c r="B3" s="2" t="s">
        <v>165</v>
      </c>
      <c r="C3" s="2" t="s">
        <v>166</v>
      </c>
      <c r="D3" s="2" t="s">
        <v>150</v>
      </c>
      <c r="E3" s="2" t="s">
        <v>167</v>
      </c>
    </row>
    <row r="4" spans="1:5" x14ac:dyDescent="0.2">
      <c r="A4" s="25" t="s">
        <v>168</v>
      </c>
      <c r="B4" s="25" t="s">
        <v>169</v>
      </c>
      <c r="C4" s="25" t="s">
        <v>170</v>
      </c>
      <c r="D4" s="25" t="s">
        <v>171</v>
      </c>
      <c r="E4" s="25" t="s">
        <v>172</v>
      </c>
    </row>
    <row r="5" spans="1:5" x14ac:dyDescent="0.2">
      <c r="A5" s="26" t="s">
        <v>168</v>
      </c>
      <c r="B5" s="26" t="s">
        <v>173</v>
      </c>
      <c r="C5" s="26" t="s">
        <v>174</v>
      </c>
      <c r="D5" s="26" t="s">
        <v>175</v>
      </c>
      <c r="E5" s="26" t="s">
        <v>172</v>
      </c>
    </row>
    <row r="6" spans="1:5" x14ac:dyDescent="0.2">
      <c r="A6" s="25" t="s">
        <v>168</v>
      </c>
      <c r="B6" s="25" t="s">
        <v>176</v>
      </c>
      <c r="C6" s="25" t="s">
        <v>177</v>
      </c>
      <c r="D6" s="25" t="s">
        <v>178</v>
      </c>
      <c r="E6" s="25" t="s">
        <v>179</v>
      </c>
    </row>
    <row r="7" spans="1:5" x14ac:dyDescent="0.2">
      <c r="A7" s="26" t="s">
        <v>168</v>
      </c>
      <c r="B7" s="26" t="s">
        <v>9</v>
      </c>
      <c r="C7" s="26" t="s">
        <v>180</v>
      </c>
      <c r="D7" s="26" t="s">
        <v>181</v>
      </c>
      <c r="E7" s="26" t="s">
        <v>179</v>
      </c>
    </row>
    <row r="8" spans="1:5" x14ac:dyDescent="0.2">
      <c r="A8" s="25" t="s">
        <v>168</v>
      </c>
      <c r="B8" s="25" t="s">
        <v>182</v>
      </c>
      <c r="C8" s="25" t="s">
        <v>183</v>
      </c>
      <c r="D8" s="25" t="s">
        <v>184</v>
      </c>
      <c r="E8" s="25" t="s">
        <v>172</v>
      </c>
    </row>
    <row r="9" spans="1:5" x14ac:dyDescent="0.2">
      <c r="A9" s="26" t="s">
        <v>168</v>
      </c>
      <c r="B9" s="26" t="s">
        <v>185</v>
      </c>
      <c r="C9" s="26" t="s">
        <v>186</v>
      </c>
      <c r="D9" s="26" t="s">
        <v>187</v>
      </c>
      <c r="E9" s="26" t="s">
        <v>188</v>
      </c>
    </row>
    <row r="10" spans="1:5" ht="27.75" customHeight="1" x14ac:dyDescent="0.2">
      <c r="A10" s="25" t="s">
        <v>189</v>
      </c>
      <c r="B10" s="25" t="s">
        <v>190</v>
      </c>
      <c r="C10" s="25" t="s">
        <v>191</v>
      </c>
      <c r="D10" s="25" t="s">
        <v>192</v>
      </c>
      <c r="E10" s="25" t="s">
        <v>179</v>
      </c>
    </row>
    <row r="11" spans="1:5" ht="27.75" customHeight="1" x14ac:dyDescent="0.2">
      <c r="A11" s="26" t="s">
        <v>189</v>
      </c>
      <c r="B11" s="26" t="s">
        <v>193</v>
      </c>
      <c r="C11" s="26" t="s">
        <v>194</v>
      </c>
      <c r="D11" s="26" t="s">
        <v>195</v>
      </c>
      <c r="E11" s="26" t="s">
        <v>179</v>
      </c>
    </row>
    <row r="12" spans="1:5" x14ac:dyDescent="0.2">
      <c r="A12" s="25" t="s">
        <v>189</v>
      </c>
      <c r="B12" s="25" t="s">
        <v>196</v>
      </c>
      <c r="C12" s="25" t="s">
        <v>197</v>
      </c>
      <c r="D12" s="25" t="s">
        <v>198</v>
      </c>
      <c r="E12" s="25" t="s">
        <v>179</v>
      </c>
    </row>
    <row r="13" spans="1:5" x14ac:dyDescent="0.2">
      <c r="A13" s="26" t="s">
        <v>189</v>
      </c>
      <c r="B13" s="26" t="s">
        <v>113</v>
      </c>
      <c r="C13" s="26" t="s">
        <v>199</v>
      </c>
      <c r="D13" s="26" t="s">
        <v>200</v>
      </c>
      <c r="E13" s="26" t="s">
        <v>172</v>
      </c>
    </row>
    <row r="14" spans="1:5" ht="27.75" customHeight="1" x14ac:dyDescent="0.2">
      <c r="A14" s="25" t="s">
        <v>189</v>
      </c>
      <c r="B14" s="25" t="s">
        <v>201</v>
      </c>
      <c r="C14" s="25" t="s">
        <v>202</v>
      </c>
      <c r="D14" s="25" t="s">
        <v>203</v>
      </c>
      <c r="E14" s="25" t="s">
        <v>204</v>
      </c>
    </row>
    <row r="15" spans="1:5" x14ac:dyDescent="0.2">
      <c r="A15" s="26" t="s">
        <v>189</v>
      </c>
      <c r="B15" s="26" t="s">
        <v>205</v>
      </c>
      <c r="C15" s="26" t="s">
        <v>206</v>
      </c>
      <c r="D15" s="26" t="s">
        <v>207</v>
      </c>
      <c r="E15" s="26" t="s">
        <v>172</v>
      </c>
    </row>
    <row r="17" spans="1:1" x14ac:dyDescent="0.2">
      <c r="A17" s="14" t="s">
        <v>208</v>
      </c>
    </row>
  </sheetData>
  <pageMargins left="0.75" right="0.75" top="1" bottom="1" header="0.511811023622047" footer="0.511811023622047"/>
  <pageSetup fitToHeight="0" orientation="landscape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C11"/>
  <sheetViews>
    <sheetView zoomScaleNormal="100" workbookViewId="0"/>
  </sheetViews>
  <sheetFormatPr baseColWidth="10" defaultColWidth="8.6640625" defaultRowHeight="15" x14ac:dyDescent="0.2"/>
  <cols>
    <col min="1" max="1" width="64" customWidth="1"/>
    <col min="2" max="2" width="12" customWidth="1"/>
    <col min="3" max="3" width="52" customWidth="1"/>
  </cols>
  <sheetData>
    <row r="1" spans="1:3" ht="15.75" customHeight="1" x14ac:dyDescent="0.2">
      <c r="A1" s="1" t="s">
        <v>209</v>
      </c>
    </row>
    <row r="3" spans="1:3" x14ac:dyDescent="0.2">
      <c r="A3" s="2" t="s">
        <v>1</v>
      </c>
      <c r="B3" s="3" t="s">
        <v>15</v>
      </c>
      <c r="C3" s="2" t="s">
        <v>16</v>
      </c>
    </row>
    <row r="4" spans="1:3" x14ac:dyDescent="0.2">
      <c r="A4" s="4" t="s">
        <v>210</v>
      </c>
      <c r="B4" s="6">
        <f>'Precio en 3 momentos'!D14</f>
        <v>40.003685258345882</v>
      </c>
      <c r="C4" s="4" t="s">
        <v>211</v>
      </c>
    </row>
    <row r="5" spans="1:3" x14ac:dyDescent="0.2">
      <c r="A5" s="7" t="s">
        <v>212</v>
      </c>
      <c r="B5" s="8">
        <v>30</v>
      </c>
      <c r="C5" s="7" t="s">
        <v>20</v>
      </c>
    </row>
    <row r="6" spans="1:3" x14ac:dyDescent="0.2">
      <c r="A6" s="4" t="s">
        <v>213</v>
      </c>
      <c r="B6" s="5">
        <v>8</v>
      </c>
      <c r="C6" s="4" t="s">
        <v>214</v>
      </c>
    </row>
    <row r="7" spans="1:3" x14ac:dyDescent="0.2">
      <c r="A7" s="7" t="s">
        <v>215</v>
      </c>
      <c r="B7" s="8">
        <v>-12</v>
      </c>
      <c r="C7" s="7" t="s">
        <v>216</v>
      </c>
    </row>
    <row r="8" spans="1:3" x14ac:dyDescent="0.2">
      <c r="A8" s="4" t="s">
        <v>217</v>
      </c>
      <c r="B8" s="6">
        <f>B5+B6+B7</f>
        <v>26</v>
      </c>
      <c r="C8" s="4"/>
    </row>
    <row r="9" spans="1:3" x14ac:dyDescent="0.2">
      <c r="A9" s="20" t="s">
        <v>218</v>
      </c>
      <c r="B9" s="21">
        <f>B4-B8</f>
        <v>14.003685258345882</v>
      </c>
      <c r="C9" s="20" t="s">
        <v>219</v>
      </c>
    </row>
    <row r="11" spans="1:3" x14ac:dyDescent="0.2">
      <c r="A11" s="14" t="s">
        <v>220</v>
      </c>
    </row>
  </sheetData>
  <pageMargins left="0.75" right="0.75" top="1" bottom="1" header="0.511811023622047" footer="0.511811023622047"/>
  <pageSetup fitToHeight="0" orientation="landscape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F14"/>
  <sheetViews>
    <sheetView zoomScaleNormal="100" workbookViewId="0"/>
  </sheetViews>
  <sheetFormatPr baseColWidth="10" defaultColWidth="8.6640625" defaultRowHeight="15" x14ac:dyDescent="0.2"/>
  <cols>
    <col min="1" max="1" width="42" customWidth="1"/>
    <col min="2" max="2" width="14" customWidth="1"/>
    <col min="3" max="3" width="12" customWidth="1"/>
    <col min="4" max="4" width="14" customWidth="1"/>
    <col min="5" max="6" width="12" customWidth="1"/>
  </cols>
  <sheetData>
    <row r="1" spans="1:6" ht="15.75" customHeight="1" x14ac:dyDescent="0.2">
      <c r="A1" s="1" t="s">
        <v>221</v>
      </c>
    </row>
    <row r="3" spans="1:6" x14ac:dyDescent="0.2">
      <c r="A3" s="2" t="s">
        <v>20</v>
      </c>
      <c r="B3" s="3" t="s">
        <v>15</v>
      </c>
      <c r="C3" s="2" t="s">
        <v>16</v>
      </c>
    </row>
    <row r="4" spans="1:6" x14ac:dyDescent="0.2">
      <c r="A4" s="4" t="s">
        <v>222</v>
      </c>
      <c r="B4" s="15">
        <v>0.55000000000000004</v>
      </c>
      <c r="C4" s="4" t="s">
        <v>20</v>
      </c>
    </row>
    <row r="6" spans="1:6" ht="27.75" customHeight="1" x14ac:dyDescent="0.2">
      <c r="A6" s="2" t="s">
        <v>1</v>
      </c>
      <c r="B6" s="3" t="s">
        <v>223</v>
      </c>
      <c r="C6" s="3" t="s">
        <v>3</v>
      </c>
      <c r="D6" s="3" t="s">
        <v>224</v>
      </c>
      <c r="E6" s="3" t="s">
        <v>225</v>
      </c>
      <c r="F6" s="3" t="s">
        <v>226</v>
      </c>
    </row>
    <row r="7" spans="1:6" x14ac:dyDescent="0.2">
      <c r="A7" s="4" t="s">
        <v>227</v>
      </c>
      <c r="B7" s="6">
        <f>'Datos del caso'!B4*(1+Objetivos!B5)</f>
        <v>126</v>
      </c>
      <c r="C7" s="6">
        <f>'DCF NutriFun'!C13</f>
        <v>49.500000000000007</v>
      </c>
      <c r="D7" s="6">
        <f>'Sinergias y VPN'!B13</f>
        <v>5</v>
      </c>
      <c r="E7" s="6">
        <v>0</v>
      </c>
      <c r="F7" s="6">
        <f>SUM(B7:E7)</f>
        <v>180.5</v>
      </c>
    </row>
    <row r="8" spans="1:6" x14ac:dyDescent="0.2">
      <c r="A8" s="7" t="s">
        <v>228</v>
      </c>
      <c r="B8" s="9">
        <f>B7*$B$4</f>
        <v>69.300000000000011</v>
      </c>
      <c r="C8" s="9">
        <f>C7*$B$4-'Sinergias y VPN'!B12</f>
        <v>25.863750000000003</v>
      </c>
      <c r="D8" s="9">
        <f>D7*$B$4</f>
        <v>2.75</v>
      </c>
      <c r="E8" s="9">
        <v>0</v>
      </c>
      <c r="F8" s="9">
        <f>SUM(B8:E8)</f>
        <v>97.913750000000022</v>
      </c>
    </row>
    <row r="9" spans="1:6" x14ac:dyDescent="0.2">
      <c r="A9" s="17" t="s">
        <v>229</v>
      </c>
      <c r="B9" s="19">
        <f>B7-B8</f>
        <v>56.699999999999989</v>
      </c>
      <c r="C9" s="19">
        <f>C7-C8</f>
        <v>23.636250000000004</v>
      </c>
      <c r="D9" s="19">
        <f>D7-D8</f>
        <v>2.25</v>
      </c>
      <c r="E9" s="19">
        <f>E7-E8</f>
        <v>0</v>
      </c>
      <c r="F9" s="19">
        <f>F7-F8</f>
        <v>82.586249999999978</v>
      </c>
    </row>
    <row r="10" spans="1:6" x14ac:dyDescent="0.2">
      <c r="A10" s="4" t="s">
        <v>230</v>
      </c>
      <c r="B10" s="6">
        <f>B9-'Datos del caso'!B5*(1+Objetivos!B4)</f>
        <v>30.699999999999989</v>
      </c>
      <c r="C10" s="6">
        <f>C9-'DCF NutriFun'!C14-'Sinergias y VPN'!B12</f>
        <v>13.475000000000001</v>
      </c>
      <c r="D10" s="6">
        <f>D9-D7*'Sinergias y VPN'!B6</f>
        <v>1.35</v>
      </c>
      <c r="E10" s="6">
        <f>'Sinergias y VPN'!B15</f>
        <v>2</v>
      </c>
      <c r="F10" s="6">
        <f>SUM(B10:E10)</f>
        <v>47.524999999999991</v>
      </c>
    </row>
    <row r="11" spans="1:6" x14ac:dyDescent="0.2">
      <c r="A11" s="17" t="s">
        <v>231</v>
      </c>
      <c r="B11" s="19">
        <f>B9-B10</f>
        <v>26</v>
      </c>
      <c r="C11" s="19">
        <f>C9-C10</f>
        <v>10.161250000000003</v>
      </c>
      <c r="D11" s="19">
        <f>D9-D10</f>
        <v>0.89999999999999991</v>
      </c>
      <c r="E11" s="19">
        <f>E9-E10</f>
        <v>-2</v>
      </c>
      <c r="F11" s="19">
        <f>F9-F10</f>
        <v>35.061249999999987</v>
      </c>
    </row>
    <row r="12" spans="1:6" x14ac:dyDescent="0.2">
      <c r="A12" s="4" t="s">
        <v>9</v>
      </c>
      <c r="B12" s="12">
        <f>IF(B7=0,"",B11/B7)</f>
        <v>0.20634920634920634</v>
      </c>
      <c r="C12" s="12">
        <f>IF(C7=0,"",C11/C7)</f>
        <v>0.20527777777777781</v>
      </c>
      <c r="D12" s="12">
        <f>IF(D7=0,"",D11/D7)</f>
        <v>0.18</v>
      </c>
      <c r="F12" s="12">
        <f>IF(F7=0,"",F11/F7)</f>
        <v>0.19424515235457057</v>
      </c>
    </row>
    <row r="14" spans="1:6" x14ac:dyDescent="0.2">
      <c r="A14" s="14" t="s">
        <v>232</v>
      </c>
    </row>
  </sheetData>
  <pageMargins left="0.75" right="0.75" top="1" bottom="1" header="0.511811023622047" footer="0.511811023622047"/>
  <pageSetup fitToHeight="0" orientation="landscape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D6"/>
  <sheetViews>
    <sheetView zoomScaleNormal="100" workbookViewId="0"/>
  </sheetViews>
  <sheetFormatPr baseColWidth="10" defaultColWidth="8.6640625" defaultRowHeight="15" x14ac:dyDescent="0.2"/>
  <cols>
    <col min="1" max="1" width="22" customWidth="1"/>
    <col min="2" max="2" width="16" customWidth="1"/>
    <col min="3" max="3" width="22" customWidth="1"/>
    <col min="4" max="4" width="56" customWidth="1"/>
  </cols>
  <sheetData>
    <row r="1" spans="1:4" ht="15.75" customHeight="1" x14ac:dyDescent="0.2">
      <c r="A1" s="1" t="s">
        <v>233</v>
      </c>
    </row>
    <row r="3" spans="1:4" x14ac:dyDescent="0.2">
      <c r="A3" s="2" t="s">
        <v>234</v>
      </c>
      <c r="B3" s="3" t="s">
        <v>235</v>
      </c>
      <c r="C3" s="3" t="s">
        <v>236</v>
      </c>
      <c r="D3" s="2" t="s">
        <v>237</v>
      </c>
    </row>
    <row r="4" spans="1:4" x14ac:dyDescent="0.2">
      <c r="A4" s="38">
        <v>0</v>
      </c>
      <c r="B4" s="6">
        <f>'Sinergias y VPN'!B22*A4</f>
        <v>0</v>
      </c>
      <c r="C4" s="6">
        <f>'Sinergias y VPN'!B23+'Sinergias y VPN'!B24+'Sinergias y VPN'!B25+B4</f>
        <v>1.9999999999999929</v>
      </c>
      <c r="D4" s="4" t="s">
        <v>238</v>
      </c>
    </row>
    <row r="5" spans="1:4" x14ac:dyDescent="0.2">
      <c r="A5" s="39">
        <v>0.5</v>
      </c>
      <c r="B5" s="9">
        <f>'Sinergias y VPN'!B22*A5</f>
        <v>21.741358216806749</v>
      </c>
      <c r="C5" s="9">
        <f>'Sinergias y VPN'!B23+'Sinergias y VPN'!B24+'Sinergias y VPN'!B25+B5</f>
        <v>23.741358216806741</v>
      </c>
      <c r="D5" s="7" t="s">
        <v>239</v>
      </c>
    </row>
    <row r="6" spans="1:4" x14ac:dyDescent="0.2">
      <c r="A6" s="38">
        <v>1</v>
      </c>
      <c r="B6" s="6">
        <f>'Sinergias y VPN'!B22*A6</f>
        <v>43.482716433613497</v>
      </c>
      <c r="C6" s="6">
        <f>'Sinergias y VPN'!B23+'Sinergias y VPN'!B24+'Sinergias y VPN'!B25+B6</f>
        <v>45.48271643361349</v>
      </c>
      <c r="D6" s="4" t="s">
        <v>240</v>
      </c>
    </row>
  </sheetData>
  <pageMargins left="0.75" right="0.75" top="1" bottom="1" header="0.511811023622047" footer="0.511811023622047"/>
  <pageSetup fitToHeight="0" orientation="landscape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K33"/>
  <sheetViews>
    <sheetView topLeftCell="A5" zoomScale="125" zoomScaleNormal="100" workbookViewId="0">
      <selection activeCell="I31" sqref="I31"/>
    </sheetView>
  </sheetViews>
  <sheetFormatPr baseColWidth="10" defaultColWidth="8.6640625" defaultRowHeight="15" x14ac:dyDescent="0.2"/>
  <cols>
    <col min="1" max="1" width="46" customWidth="1"/>
    <col min="2" max="3" width="10" customWidth="1"/>
    <col min="4" max="4" width="11.83203125" customWidth="1"/>
    <col min="5" max="5" width="12.5" customWidth="1"/>
    <col min="6" max="11" width="10" customWidth="1"/>
  </cols>
  <sheetData>
    <row r="1" spans="1:11" ht="16" x14ac:dyDescent="0.2">
      <c r="A1" s="40" t="s">
        <v>241</v>
      </c>
    </row>
    <row r="3" spans="1:11" ht="28" x14ac:dyDescent="0.2">
      <c r="A3" s="41" t="s">
        <v>242</v>
      </c>
      <c r="B3" s="42" t="s">
        <v>48</v>
      </c>
      <c r="C3" s="42" t="s">
        <v>49</v>
      </c>
      <c r="D3" s="42" t="s">
        <v>50</v>
      </c>
      <c r="E3" s="42" t="s">
        <v>51</v>
      </c>
      <c r="F3" s="42" t="s">
        <v>52</v>
      </c>
      <c r="G3" s="42" t="s">
        <v>243</v>
      </c>
      <c r="H3" s="42" t="s">
        <v>244</v>
      </c>
    </row>
    <row r="4" spans="1:11" x14ac:dyDescent="0.2">
      <c r="A4" s="43" t="s">
        <v>245</v>
      </c>
      <c r="B4" s="44">
        <f>'DCF NutriFun'!C20</f>
        <v>3.5</v>
      </c>
      <c r="C4" s="44">
        <f>'DCF NutriFun'!D20</f>
        <v>3.5</v>
      </c>
      <c r="D4" s="44">
        <f>'DCF NutriFun'!E20</f>
        <v>2</v>
      </c>
      <c r="E4" s="44">
        <f>'DCF NutriFun'!F20</f>
        <v>2</v>
      </c>
      <c r="F4" s="44">
        <f>'DCF NutriFun'!G20</f>
        <v>2.1</v>
      </c>
      <c r="G4" s="44">
        <f>SUM(B4:F4)</f>
        <v>13.1</v>
      </c>
      <c r="H4" s="45"/>
    </row>
    <row r="5" spans="1:11" x14ac:dyDescent="0.2">
      <c r="A5" s="46" t="s">
        <v>246</v>
      </c>
      <c r="B5" s="47">
        <f>B$4*$H$5</f>
        <v>1.75</v>
      </c>
      <c r="C5" s="47">
        <f>C$4*$H$5</f>
        <v>1.75</v>
      </c>
      <c r="D5" s="47">
        <f>D$4*$H$5</f>
        <v>1</v>
      </c>
      <c r="E5" s="47">
        <f>E$4*$H$5</f>
        <v>1</v>
      </c>
      <c r="F5" s="47">
        <f>F$4*$H$5</f>
        <v>1.05</v>
      </c>
      <c r="G5" s="47">
        <f>SUM(B5:F5)</f>
        <v>6.55</v>
      </c>
      <c r="H5" s="48">
        <v>0.5</v>
      </c>
    </row>
    <row r="6" spans="1:11" x14ac:dyDescent="0.2">
      <c r="A6" s="43" t="s">
        <v>247</v>
      </c>
      <c r="B6" s="44">
        <f>'DCF NutriFun'!C15</f>
        <v>1.2</v>
      </c>
      <c r="C6" s="44">
        <f>'DCF NutriFun'!D15</f>
        <v>1.3</v>
      </c>
      <c r="D6" s="44">
        <f>'DCF NutriFun'!E15</f>
        <v>1.4</v>
      </c>
      <c r="E6" s="44">
        <f>'DCF NutriFun'!F15</f>
        <v>1.5</v>
      </c>
      <c r="F6" s="44">
        <f>'DCF NutriFun'!G15</f>
        <v>1.6</v>
      </c>
      <c r="G6" s="44">
        <f>SUM(B6:F6)</f>
        <v>7</v>
      </c>
      <c r="H6" s="45"/>
    </row>
    <row r="7" spans="1:11" x14ac:dyDescent="0.2">
      <c r="A7" s="46" t="s">
        <v>248</v>
      </c>
      <c r="B7" s="49">
        <v>0</v>
      </c>
      <c r="C7" s="49">
        <v>0</v>
      </c>
      <c r="D7" s="49">
        <v>0</v>
      </c>
      <c r="E7" s="49">
        <v>0</v>
      </c>
      <c r="F7" s="49">
        <v>0</v>
      </c>
      <c r="G7" s="47">
        <f>SUM(B7:F7)</f>
        <v>0</v>
      </c>
      <c r="H7" s="50"/>
    </row>
    <row r="10" spans="1:11" x14ac:dyDescent="0.2">
      <c r="A10" s="51" t="s">
        <v>249</v>
      </c>
    </row>
    <row r="11" spans="1:11" x14ac:dyDescent="0.2">
      <c r="A11" s="41" t="s">
        <v>250</v>
      </c>
      <c r="B11" s="42" t="s">
        <v>251</v>
      </c>
      <c r="C11" s="42" t="s">
        <v>252</v>
      </c>
      <c r="D11" s="42" t="s">
        <v>253</v>
      </c>
      <c r="E11" s="42" t="s">
        <v>254</v>
      </c>
      <c r="F11" s="42" t="s">
        <v>255</v>
      </c>
      <c r="G11" s="42" t="s">
        <v>256</v>
      </c>
      <c r="H11" s="42" t="s">
        <v>257</v>
      </c>
      <c r="I11" s="42" t="s">
        <v>258</v>
      </c>
      <c r="J11" s="42" t="s">
        <v>259</v>
      </c>
      <c r="K11" s="42" t="s">
        <v>260</v>
      </c>
    </row>
    <row r="12" spans="1:11" x14ac:dyDescent="0.2">
      <c r="A12" s="43" t="s">
        <v>245</v>
      </c>
      <c r="B12" s="44">
        <f>'Sinergias y VPN'!B19+B$4-B4</f>
        <v>2.1348125000000007</v>
      </c>
      <c r="C12" s="44">
        <f>'Sinergias y VPN'!C19+C$4-C4</f>
        <v>4.9710875000000012</v>
      </c>
      <c r="D12" s="44">
        <f>'Sinergias y VPN'!D19+D$4-D4</f>
        <v>8.4899853750000016</v>
      </c>
      <c r="E12" s="44">
        <f>'Sinergias y VPN'!E19+E$4-E4</f>
        <v>9.3832592050000034</v>
      </c>
      <c r="F12" s="44">
        <f>'Sinergias y VPN'!F19+F$4-F4</f>
        <v>10.153323099350004</v>
      </c>
      <c r="G12" s="44">
        <f>F12*(1+'DCF NutriFun'!$B$9)</f>
        <v>10.508689407827253</v>
      </c>
      <c r="H12" s="44">
        <f>G12*(1+'DCF NutriFun'!$B$9)</f>
        <v>10.876493537101206</v>
      </c>
      <c r="I12" s="44">
        <f>H12*(1+'DCF NutriFun'!$B$9)</f>
        <v>11.257170810899748</v>
      </c>
      <c r="J12" s="44">
        <f>I12*(1+'DCF NutriFun'!$B$9)</f>
        <v>11.651171789281237</v>
      </c>
      <c r="K12" s="44">
        <f>J12*(1+'DCF NutriFun'!$B$9)</f>
        <v>12.05896280190608</v>
      </c>
    </row>
    <row r="13" spans="1:11" x14ac:dyDescent="0.2">
      <c r="A13" s="46" t="s">
        <v>246</v>
      </c>
      <c r="B13" s="47">
        <f>'Sinergias y VPN'!B19+B$4-B5</f>
        <v>3.8848125000000007</v>
      </c>
      <c r="C13" s="47">
        <f>'Sinergias y VPN'!C19+C$4-C5</f>
        <v>6.7210875000000012</v>
      </c>
      <c r="D13" s="47">
        <f>'Sinergias y VPN'!D19+D$4-D5</f>
        <v>9.4899853750000016</v>
      </c>
      <c r="E13" s="47">
        <f>'Sinergias y VPN'!E19+E$4-E5</f>
        <v>10.383259205000003</v>
      </c>
      <c r="F13" s="47">
        <f>'Sinergias y VPN'!F19+F$4-F5</f>
        <v>11.203323099350003</v>
      </c>
      <c r="G13" s="47">
        <f>F13*(1+'DCF NutriFun'!$B$9)</f>
        <v>11.595439407827252</v>
      </c>
      <c r="H13" s="47">
        <f>G13*(1+'DCF NutriFun'!$B$9)</f>
        <v>12.001279787101204</v>
      </c>
      <c r="I13" s="47">
        <f>H13*(1+'DCF NutriFun'!$B$9)</f>
        <v>12.421324579649745</v>
      </c>
      <c r="J13" s="47">
        <f>I13*(1+'DCF NutriFun'!$B$9)</f>
        <v>12.856070939937485</v>
      </c>
      <c r="K13" s="47">
        <f>J13*(1+'DCF NutriFun'!$B$9)</f>
        <v>13.306033422835297</v>
      </c>
    </row>
    <row r="14" spans="1:11" x14ac:dyDescent="0.2">
      <c r="A14" s="43" t="s">
        <v>247</v>
      </c>
      <c r="B14" s="44">
        <f>'Sinergias y VPN'!B19+B$4-B6</f>
        <v>4.4348125000000005</v>
      </c>
      <c r="C14" s="44">
        <f>'Sinergias y VPN'!C19+C$4-C6</f>
        <v>7.1710875000000014</v>
      </c>
      <c r="D14" s="44">
        <f>'Sinergias y VPN'!D19+D$4-D6</f>
        <v>9.0899853750000013</v>
      </c>
      <c r="E14" s="44">
        <f>'Sinergias y VPN'!E19+E$4-E6</f>
        <v>9.8832592050000034</v>
      </c>
      <c r="F14" s="44">
        <f>'Sinergias y VPN'!F19+F$4-F6</f>
        <v>10.653323099350004</v>
      </c>
      <c r="G14" s="44">
        <f>F14*(1+'DCF NutriFun'!$B$9)</f>
        <v>11.026189407827253</v>
      </c>
      <c r="H14" s="44">
        <f>G14*(1+'DCF NutriFun'!$B$9)</f>
        <v>11.412106037101207</v>
      </c>
      <c r="I14" s="44">
        <f>H14*(1+'DCF NutriFun'!$B$9)</f>
        <v>11.811529748399748</v>
      </c>
      <c r="J14" s="44">
        <f>I14*(1+'DCF NutriFun'!$B$9)</f>
        <v>12.224933289593737</v>
      </c>
      <c r="K14" s="44">
        <f>J14*(1+'DCF NutriFun'!$B$9)</f>
        <v>12.652805954729518</v>
      </c>
    </row>
    <row r="15" spans="1:11" x14ac:dyDescent="0.2">
      <c r="A15" s="46" t="s">
        <v>248</v>
      </c>
      <c r="B15" s="47">
        <f>'Sinergias y VPN'!B19+B$4-B7</f>
        <v>5.6348125000000007</v>
      </c>
      <c r="C15" s="47">
        <f>'Sinergias y VPN'!C19+C$4-C7</f>
        <v>8.4710875000000012</v>
      </c>
      <c r="D15" s="47">
        <f>'Sinergias y VPN'!D19+D$4-D7</f>
        <v>10.489985375000002</v>
      </c>
      <c r="E15" s="47">
        <f>'Sinergias y VPN'!E19+E$4-E7</f>
        <v>11.383259205000003</v>
      </c>
      <c r="F15" s="47">
        <f>'Sinergias y VPN'!F19+F$4-F7</f>
        <v>12.253323099350004</v>
      </c>
      <c r="G15" s="47">
        <f>F15*(1+'DCF NutriFun'!$B$9)</f>
        <v>12.682189407827252</v>
      </c>
      <c r="H15" s="47">
        <f>G15*(1+'DCF NutriFun'!$B$9)</f>
        <v>13.126066037101205</v>
      </c>
      <c r="I15" s="47">
        <f>H15*(1+'DCF NutriFun'!$B$9)</f>
        <v>13.585478348399747</v>
      </c>
      <c r="J15" s="47">
        <f>I15*(1+'DCF NutriFun'!$B$9)</f>
        <v>14.060970090593736</v>
      </c>
      <c r="K15" s="47">
        <f>J15*(1+'DCF NutriFun'!$B$9)</f>
        <v>14.553104043764517</v>
      </c>
    </row>
    <row r="17" spans="1:11" x14ac:dyDescent="0.2">
      <c r="A17" s="51" t="s">
        <v>261</v>
      </c>
    </row>
    <row r="18" spans="1:11" x14ac:dyDescent="0.2">
      <c r="A18" s="41" t="s">
        <v>250</v>
      </c>
      <c r="B18" s="42" t="s">
        <v>251</v>
      </c>
      <c r="C18" s="42" t="s">
        <v>252</v>
      </c>
      <c r="D18" s="42" t="s">
        <v>253</v>
      </c>
      <c r="E18" s="42" t="s">
        <v>254</v>
      </c>
      <c r="F18" s="42" t="s">
        <v>255</v>
      </c>
      <c r="G18" s="42" t="s">
        <v>256</v>
      </c>
      <c r="H18" s="42" t="s">
        <v>257</v>
      </c>
      <c r="I18" s="42" t="s">
        <v>258</v>
      </c>
      <c r="J18" s="42" t="s">
        <v>259</v>
      </c>
      <c r="K18" s="42" t="s">
        <v>260</v>
      </c>
    </row>
    <row r="19" spans="1:11" x14ac:dyDescent="0.2">
      <c r="A19" s="43" t="s">
        <v>245</v>
      </c>
      <c r="B19" s="44">
        <f>-'Sinergias y VPN'!$B$7+B12</f>
        <v>-47.86887275834588</v>
      </c>
      <c r="C19" s="44">
        <f t="shared" ref="C19:K19" si="0">B19+C12</f>
        <v>-42.897785258345877</v>
      </c>
      <c r="D19" s="44">
        <f t="shared" si="0"/>
        <v>-34.407799883345874</v>
      </c>
      <c r="E19" s="44">
        <f t="shared" si="0"/>
        <v>-25.024540678345872</v>
      </c>
      <c r="F19" s="44">
        <f t="shared" si="0"/>
        <v>-14.871217578995868</v>
      </c>
      <c r="G19" s="44">
        <f t="shared" si="0"/>
        <v>-4.3625281711686146</v>
      </c>
      <c r="H19" s="44">
        <f t="shared" si="0"/>
        <v>6.5139653659325916</v>
      </c>
      <c r="I19" s="44">
        <f t="shared" si="0"/>
        <v>17.771136176832339</v>
      </c>
      <c r="J19" s="44">
        <f t="shared" si="0"/>
        <v>29.422307966113578</v>
      </c>
      <c r="K19" s="44">
        <f t="shared" si="0"/>
        <v>41.481270768019655</v>
      </c>
    </row>
    <row r="20" spans="1:11" x14ac:dyDescent="0.2">
      <c r="A20" s="46" t="s">
        <v>246</v>
      </c>
      <c r="B20" s="47">
        <f>-'Sinergias y VPN'!$B$7+B13</f>
        <v>-46.11887275834588</v>
      </c>
      <c r="C20" s="47">
        <f t="shared" ref="C20:K20" si="1">B20+C13</f>
        <v>-39.397785258345877</v>
      </c>
      <c r="D20" s="47">
        <f t="shared" si="1"/>
        <v>-29.907799883345874</v>
      </c>
      <c r="E20" s="47">
        <f t="shared" si="1"/>
        <v>-19.524540678345872</v>
      </c>
      <c r="F20" s="47">
        <f t="shared" si="1"/>
        <v>-8.3212175789958689</v>
      </c>
      <c r="G20" s="47">
        <f t="shared" si="1"/>
        <v>3.2742218288313829</v>
      </c>
      <c r="H20" s="47">
        <f t="shared" si="1"/>
        <v>15.275501615932587</v>
      </c>
      <c r="I20" s="47">
        <f t="shared" si="1"/>
        <v>27.696826195582332</v>
      </c>
      <c r="J20" s="47">
        <f t="shared" si="1"/>
        <v>40.552897135519814</v>
      </c>
      <c r="K20" s="47">
        <f t="shared" si="1"/>
        <v>53.858930558355112</v>
      </c>
    </row>
    <row r="21" spans="1:11" x14ac:dyDescent="0.2">
      <c r="A21" s="43" t="s">
        <v>247</v>
      </c>
      <c r="B21" s="44">
        <f>-'Sinergias y VPN'!$B$7+B14</f>
        <v>-45.568872758345883</v>
      </c>
      <c r="C21" s="44">
        <f t="shared" ref="C21:K21" si="2">B21+C14</f>
        <v>-38.397785258345884</v>
      </c>
      <c r="D21" s="44">
        <f t="shared" si="2"/>
        <v>-29.307799883345883</v>
      </c>
      <c r="E21" s="44">
        <f t="shared" si="2"/>
        <v>-19.424540678345878</v>
      </c>
      <c r="F21" s="44">
        <f t="shared" si="2"/>
        <v>-8.7712175789958735</v>
      </c>
      <c r="G21" s="44">
        <f t="shared" si="2"/>
        <v>2.2549718288313798</v>
      </c>
      <c r="H21" s="44">
        <f t="shared" si="2"/>
        <v>13.667077865932587</v>
      </c>
      <c r="I21" s="44">
        <f t="shared" si="2"/>
        <v>25.478607614332333</v>
      </c>
      <c r="J21" s="44">
        <f t="shared" si="2"/>
        <v>37.703540903926068</v>
      </c>
      <c r="K21" s="44">
        <f t="shared" si="2"/>
        <v>50.356346858655584</v>
      </c>
    </row>
    <row r="22" spans="1:11" x14ac:dyDescent="0.2">
      <c r="A22" s="46" t="s">
        <v>248</v>
      </c>
      <c r="B22" s="47">
        <f>-'Sinergias y VPN'!$B$7+B15</f>
        <v>-44.36887275834588</v>
      </c>
      <c r="C22" s="47">
        <f t="shared" ref="C22:K22" si="3">B22+C15</f>
        <v>-35.897785258345877</v>
      </c>
      <c r="D22" s="47">
        <f t="shared" si="3"/>
        <v>-25.407799883345874</v>
      </c>
      <c r="E22" s="47">
        <f t="shared" si="3"/>
        <v>-14.02454067834587</v>
      </c>
      <c r="F22" s="47">
        <f t="shared" si="3"/>
        <v>-1.7712175789958664</v>
      </c>
      <c r="G22" s="47">
        <f t="shared" si="3"/>
        <v>10.910971828831386</v>
      </c>
      <c r="H22" s="47">
        <f t="shared" si="3"/>
        <v>24.037037865932589</v>
      </c>
      <c r="I22" s="47">
        <f t="shared" si="3"/>
        <v>37.622516214332336</v>
      </c>
      <c r="J22" s="47">
        <f t="shared" si="3"/>
        <v>51.68348630492607</v>
      </c>
      <c r="K22" s="47">
        <f t="shared" si="3"/>
        <v>66.236590348690584</v>
      </c>
    </row>
    <row r="24" spans="1:11" x14ac:dyDescent="0.2">
      <c r="A24" s="51" t="s">
        <v>262</v>
      </c>
    </row>
    <row r="25" spans="1:11" ht="28" x14ac:dyDescent="0.2">
      <c r="A25" s="41" t="s">
        <v>250</v>
      </c>
      <c r="B25" s="57" t="s">
        <v>263</v>
      </c>
      <c r="C25" s="57" t="s">
        <v>264</v>
      </c>
      <c r="D25" s="57" t="s">
        <v>265</v>
      </c>
      <c r="E25" s="57" t="s">
        <v>266</v>
      </c>
      <c r="F25" s="57" t="s">
        <v>150</v>
      </c>
      <c r="G25" s="57" t="s">
        <v>267</v>
      </c>
    </row>
    <row r="26" spans="1:11" x14ac:dyDescent="0.2">
      <c r="A26" s="43" t="s">
        <v>245</v>
      </c>
      <c r="B26" s="44">
        <f>G4</f>
        <v>13.1</v>
      </c>
      <c r="C26" s="44">
        <f>$G$4-G4</f>
        <v>0</v>
      </c>
      <c r="D26" s="44">
        <f>F19</f>
        <v>-14.871217578995868</v>
      </c>
      <c r="E26" s="52">
        <f>(MATCH(TRUE(),INDEX(B19:K19&gt;=0,0),0)-1)+(-INDEX(B19:K19,MATCH(TRUE(),INDEX(B19:K19&gt;=0,0),0)-1))/INDEX(B12:K12,MATCH(TRUE(),INDEX(B19:K19&gt;=0,0),0))</f>
        <v>6.4010969303928178</v>
      </c>
      <c r="F26" s="53">
        <f>'Sinergias y VPN'!$B$29</f>
        <v>5</v>
      </c>
      <c r="G26" s="45" t="str">
        <f>IF(E26&lt;=F26,"Sí","No")</f>
        <v>No</v>
      </c>
    </row>
    <row r="27" spans="1:11" x14ac:dyDescent="0.2">
      <c r="A27" s="46" t="s">
        <v>246</v>
      </c>
      <c r="B27" s="47">
        <f>G5</f>
        <v>6.55</v>
      </c>
      <c r="C27" s="47">
        <f>$G$4-G5</f>
        <v>6.55</v>
      </c>
      <c r="D27" s="47">
        <f>F20</f>
        <v>-8.3212175789958689</v>
      </c>
      <c r="E27" s="54">
        <f>(MATCH(TRUE(),INDEX(B20:K20&gt;=0,0),0)-1)+(-INDEX(B20:K20,MATCH(TRUE(),INDEX(B20:K20&gt;=0,0),0)-1))/INDEX(B13:K13,MATCH(TRUE(),INDEX(B20:K20&gt;=0,0),0))</f>
        <v>5.7176284818821799</v>
      </c>
      <c r="F27" s="55">
        <f>'Sinergias y VPN'!$B$29</f>
        <v>5</v>
      </c>
      <c r="G27" s="50" t="str">
        <f>IF(E27&lt;=F27,"Sí","No")</f>
        <v>No</v>
      </c>
    </row>
    <row r="28" spans="1:11" x14ac:dyDescent="0.2">
      <c r="A28" s="43" t="s">
        <v>247</v>
      </c>
      <c r="B28" s="44">
        <f>G6</f>
        <v>7</v>
      </c>
      <c r="C28" s="44">
        <f>$G$4-G6</f>
        <v>6.1</v>
      </c>
      <c r="D28" s="44">
        <f>F21</f>
        <v>-8.7712175789958735</v>
      </c>
      <c r="E28" s="52">
        <f>(MATCH(TRUE(),INDEX(B21:K21&gt;=0,0),0)-1)+(-INDEX(B21:K21,MATCH(TRUE(),INDEX(B21:K21&gt;=0,0),0)-1))/INDEX(B14:K14,MATCH(TRUE(),INDEX(B21:K21&gt;=0,0),0))</f>
        <v>5.7954894709834548</v>
      </c>
      <c r="F28" s="53">
        <f>'Sinergias y VPN'!$B$29</f>
        <v>5</v>
      </c>
      <c r="G28" s="45" t="str">
        <f>IF(E28&lt;=F28,"Sí","No")</f>
        <v>No</v>
      </c>
    </row>
    <row r="29" spans="1:11" x14ac:dyDescent="0.2">
      <c r="A29" s="46" t="s">
        <v>248</v>
      </c>
      <c r="B29" s="47">
        <f>G7</f>
        <v>0</v>
      </c>
      <c r="C29" s="47">
        <f>$G$4-G7</f>
        <v>13.1</v>
      </c>
      <c r="D29" s="47">
        <f>F22</f>
        <v>-1.7712175789958664</v>
      </c>
      <c r="E29" s="54">
        <f>(MATCH(TRUE(),INDEX(B22:K22&gt;=0,0),0)-1)+(-INDEX(B22:K22,MATCH(TRUE(),INDEX(B22:K22&gt;=0,0),0)-1))/INDEX(B15:K15,MATCH(TRUE(),INDEX(B22:K22&gt;=0,0),0))</f>
        <v>5.1396618140636425</v>
      </c>
      <c r="F29" s="55">
        <f>'Sinergias y VPN'!$B$29</f>
        <v>5</v>
      </c>
      <c r="G29" s="50" t="str">
        <f>IF(E29&lt;=F29,"Sí","No")</f>
        <v>No</v>
      </c>
    </row>
    <row r="31" spans="1:11" x14ac:dyDescent="0.2">
      <c r="A31" s="56" t="s">
        <v>268</v>
      </c>
    </row>
    <row r="32" spans="1:11" x14ac:dyDescent="0.2">
      <c r="A32" s="56" t="s">
        <v>269</v>
      </c>
    </row>
    <row r="33" spans="1:1" x14ac:dyDescent="0.2">
      <c r="A33" s="56" t="s">
        <v>270</v>
      </c>
    </row>
  </sheetData>
  <pageMargins left="0.75" right="0.75" top="1" bottom="1" header="0.511811023622047" footer="0.511811023622047"/>
  <pageSetup fitToHeight="0" orientation="landscape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Datos del caso</vt:lpstr>
      <vt:lpstr>Costo de capital</vt:lpstr>
      <vt:lpstr>DCF NutriFun</vt:lpstr>
      <vt:lpstr>Precio en 3 momentos</vt:lpstr>
      <vt:lpstr>Sinergias y VPN</vt:lpstr>
      <vt:lpstr>Objetivos</vt:lpstr>
      <vt:lpstr>KPI</vt:lpstr>
      <vt:lpstr>Registro NIF B-7</vt:lpstr>
      <vt:lpstr>Presupuesto maestro 2026</vt:lpstr>
      <vt:lpstr>Sensibilidad</vt:lpstr>
      <vt:lpstr>Sensibilidad CapEx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Luis Ricardo Rivera Goitia</cp:lastModifiedBy>
  <cp:revision>0</cp:revision>
  <dcterms:created xsi:type="dcterms:W3CDTF">2026-10-20T23:36:34Z</dcterms:created>
  <dcterms:modified xsi:type="dcterms:W3CDTF">2026-10-21T19:16:55Z</dcterms:modified>
  <dc:language>en-US</dc:language>
</cp:coreProperties>
</file>